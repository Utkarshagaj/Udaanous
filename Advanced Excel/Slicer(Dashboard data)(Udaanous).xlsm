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D:\Udaanous\Excel\Assignments\"/>
    </mc:Choice>
  </mc:AlternateContent>
  <xr:revisionPtr revIDLastSave="0" documentId="13_ncr:1_{8213F84A-C639-4694-9332-2E3F364DCAD8}" xr6:coauthVersionLast="47" xr6:coauthVersionMax="47" xr10:uidLastSave="{00000000-0000-0000-0000-000000000000}"/>
  <bookViews>
    <workbookView xWindow="-120" yWindow="-120" windowWidth="29040" windowHeight="15720" activeTab="2" xr2:uid="{00000000-000D-0000-FFFF-FFFF00000000}"/>
  </bookViews>
  <sheets>
    <sheet name="Data" sheetId="2" r:id="rId1"/>
    <sheet name="Pivot  Table" sheetId="4" r:id="rId2"/>
    <sheet name="Dashboard" sheetId="3" r:id="rId3"/>
  </sheets>
  <definedNames>
    <definedName name="Game">#REF!</definedName>
    <definedName name="logo">INDIRECT(#REF!)</definedName>
    <definedName name="Productivity">#REF!</definedName>
    <definedName name="Slicer_Division">#N/A</definedName>
    <definedName name="Slicer_Region">#N/A</definedName>
    <definedName name="Slicer_Year">#N/A</definedName>
    <definedName name="TotalRev">#REF!</definedName>
    <definedName name="Utility">#REF!</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I3"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alcChain>
</file>

<file path=xl/sharedStrings.xml><?xml version="1.0" encoding="utf-8"?>
<sst xmlns="http://schemas.openxmlformats.org/spreadsheetml/2006/main" count="131" uniqueCount="24">
  <si>
    <t>Division</t>
  </si>
  <si>
    <t>Region</t>
  </si>
  <si>
    <t>Revenue</t>
  </si>
  <si>
    <t>North America</t>
  </si>
  <si>
    <t>South America</t>
  </si>
  <si>
    <t>Asia</t>
  </si>
  <si>
    <t>Europe</t>
  </si>
  <si>
    <t>Australia</t>
  </si>
  <si>
    <t>Year</t>
  </si>
  <si>
    <t>Current</t>
  </si>
  <si>
    <t>PY</t>
  </si>
  <si>
    <t>Game</t>
  </si>
  <si>
    <t>Utility</t>
  </si>
  <si>
    <t>Productivity</t>
  </si>
  <si>
    <t>Row Labels</t>
  </si>
  <si>
    <t>Grand Total</t>
  </si>
  <si>
    <t>Sum of Revenue</t>
  </si>
  <si>
    <t>Average of Revenue</t>
  </si>
  <si>
    <t>Std. Deviation</t>
  </si>
  <si>
    <t>Z-Score</t>
  </si>
  <si>
    <t>Average by region</t>
  </si>
  <si>
    <t>Count of Z-Score</t>
  </si>
  <si>
    <t>Max of Std. Deviation</t>
  </si>
  <si>
    <t>Sum of Revenue2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</si>
</sst>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quot;₹&quot;\ * #,##0.00_ ;_ &quot;₹&quot;\ * \-#,##0.00_ ;_ &quot;₹&quot;\ * &quot;-&quot;??_ ;_ @_ "/>
    <numFmt numFmtId="164" formatCode="_-[$$-409]* #,##0.00_ ;_-[$$-409]* \-#,##0.00\ ;_-[$$-409]* &quot;-&quot;??_ ;_-@_ "/>
    <numFmt numFmtId="165" formatCode="_-[$$-409]* #,##0_ ;_-[$$-409]* \-#,##0\ ;_-[$$-409]* &quot;-&quot;??_ ;_-@_ "/>
  </numFmts>
  <fonts count="3" x14ac:knownFonts="1">
    <font>
      <sz val="11"/>
      <color theme="1"/>
      <name val="Calibri"/>
      <family val="2"/>
      <scheme val="minor"/>
    </font>
    <font>
      <b/>
      <sz val="11"/>
      <color theme="0"/>
      <name val="Calibri"/>
      <family val="2"/>
      <scheme val="minor"/>
    </font>
    <font>
      <sz val="11"/>
      <color theme="1"/>
      <name val="Calibri"/>
      <family val="2"/>
      <scheme val="minor"/>
    </font>
  </fonts>
  <fills count="3">
    <fill>
      <patternFill patternType="none"/>
    </fill>
    <fill>
      <patternFill patternType="gray125"/>
    </fill>
    <fill>
      <patternFill patternType="solid">
        <fgColor theme="8" tint="0.39997558519241921"/>
        <bgColor indexed="64"/>
      </patternFill>
    </fill>
  </fills>
  <borders count="1">
    <border>
      <left/>
      <right/>
      <top/>
      <bottom/>
      <diagonal/>
    </border>
  </borders>
  <cellStyleXfs count="2">
    <xf numFmtId="0" fontId="0" fillId="0" borderId="0"/>
    <xf numFmtId="44" fontId="2" fillId="0" borderId="0" applyFont="0" applyFill="0" applyBorder="0" applyAlignment="0" applyProtection="0"/>
  </cellStyleXfs>
  <cellXfs count="10">
    <xf numFmtId="0" fontId="0" fillId="0" borderId="0" xfId="0"/>
    <xf numFmtId="0" fontId="1" fillId="2" borderId="0" xfId="0" applyFont="1" applyFill="1"/>
    <xf numFmtId="165" fontId="1" fillId="2" borderId="0" xfId="1" applyNumberFormat="1" applyFont="1" applyFill="1"/>
    <xf numFmtId="165" fontId="0" fillId="0" borderId="0" xfId="1" applyNumberFormat="1" applyFont="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2" fontId="0" fillId="0" borderId="0" xfId="0" applyNumberFormat="1"/>
    <xf numFmtId="0" fontId="0" fillId="0" borderId="0" xfId="0" applyAlignment="1">
      <alignment horizontal="center"/>
    </xf>
  </cellXfs>
  <cellStyles count="2">
    <cellStyle name="Currency" xfId="1" builtinId="4"/>
    <cellStyle name="Normal" xfId="0" builtinId="0"/>
  </cellStyles>
  <dxfs count="105">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165" formatCode="_-[$$-409]* #,##0_ ;_-[$$-409]* \-#,##0\ ;_-[$$-409]* &quot;-&quot;??_ ;_-@_ "/>
    </dxf>
    <dxf>
      <numFmt numFmtId="2" formatCode="0.00"/>
    </dxf>
    <dxf>
      <numFmt numFmtId="0" formatCode="General"/>
    </dxf>
    <dxf>
      <numFmt numFmtId="165" formatCode="_-[$$-409]* #,##0_ ;_-[$$-409]* \-#,##0\ ;_-[$$-409]* &quot;-&quot;??_ ;_-@_ "/>
    </dxf>
    <dxf>
      <font>
        <b/>
        <strike val="0"/>
        <outline val="0"/>
        <shadow val="0"/>
        <u val="none"/>
        <vertAlign val="baseline"/>
        <sz val="11"/>
        <color theme="0"/>
        <name val="Calibri"/>
        <family val="2"/>
        <scheme val="minor"/>
      </font>
      <fill>
        <patternFill patternType="solid">
          <fgColor indexed="64"/>
          <bgColor theme="8" tint="0.39997558519241921"/>
        </patternFill>
      </fill>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color theme="5"/>
      </font>
      <border>
        <bottom style="thin">
          <color theme="4"/>
        </bottom>
        <vertical/>
        <horizontal/>
      </border>
    </dxf>
    <dxf>
      <font>
        <color theme="1"/>
      </font>
      <fill>
        <patternFill>
          <bgColor theme="1" tint="0.24994659260841701"/>
        </patternFill>
      </fill>
      <border diagonalUp="0" diagonalDown="0">
        <left/>
        <right/>
        <top/>
        <bottom/>
        <vertical/>
        <horizontal/>
      </border>
    </dxf>
  </dxfs>
  <tableStyles count="2" defaultTableStyle="TableStyleMedium2" defaultPivotStyle="PivotStyleLight16">
    <tableStyle name="Slicer Dashboard" pivot="0" table="0" count="10" xr9:uid="{00000000-0011-0000-FFFF-FFFF00000000}">
      <tableStyleElement type="wholeTable" dxfId="104"/>
      <tableStyleElement type="headerRow" dxfId="103"/>
    </tableStyle>
    <tableStyle name="Slicer Pivot" table="0" count="13" xr9:uid="{00000000-0011-0000-FFFF-FFFF01000000}">
      <tableStyleElement type="wholeTable" dxfId="102"/>
      <tableStyleElement type="headerRow" dxfId="101"/>
      <tableStyleElement type="totalRow" dxfId="100"/>
      <tableStyleElement type="firstColumn" dxfId="99"/>
      <tableStyleElement type="firstRowStripe" dxfId="98"/>
      <tableStyleElement type="firstColumnStripe" dxfId="97"/>
      <tableStyleElement type="firstSubtotalColumn" dxfId="96"/>
      <tableStyleElement type="firstSubtotalRow" dxfId="95"/>
      <tableStyleElement type="secondSubtotalRow" dxfId="94"/>
      <tableStyleElement type="firstRowSubheading" dxfId="93"/>
      <tableStyleElement type="secondRowSubheading" dxfId="92"/>
      <tableStyleElement type="pageFieldLabels" dxfId="91"/>
      <tableStyleElement type="pageFieldValues" dxfId="90"/>
    </tableStyle>
  </tableStyles>
  <colors>
    <mruColors>
      <color rgb="FFFDFDF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Slicer(Dashboard data)(1).xlsm]Pivot  Table!PivotTable1</c:name>
    <c:fmtId val="16"/>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a:solidFill>
                  <a:schemeClr val="bg1"/>
                </a:solidFill>
              </a:rPr>
              <a:t>Total Revenue by Year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marker>
          <c:symbol val="circle"/>
          <c:size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
      </c:pivotFmt>
    </c:pivotFmts>
    <c:view3D>
      <c:rotX val="15"/>
      <c:rotY val="20"/>
      <c:depthPercent val="100"/>
      <c:rAngAx val="0"/>
    </c:view3D>
    <c:floor>
      <c:thickness val="0"/>
      <c:spPr>
        <a:noFill/>
        <a:ln w="9525" cap="flat" cmpd="sng" algn="ctr">
          <a:solidFill>
            <a:schemeClr val="tx2">
              <a:lumMod val="40000"/>
              <a:lumOff val="60000"/>
            </a:schemeClr>
          </a:solidFill>
          <a:round/>
        </a:ln>
        <a:effectLst/>
        <a:sp3d contourW="9525">
          <a:contourClr>
            <a:schemeClr val="tx2">
              <a:lumMod val="40000"/>
              <a:lumOff val="60000"/>
            </a:schemeClr>
          </a:contourClr>
        </a:sp3d>
      </c:spPr>
    </c:floor>
    <c:sideWall>
      <c:thickness val="0"/>
      <c:spPr>
        <a:noFill/>
        <a:ln>
          <a:noFill/>
        </a:ln>
        <a:effectLst/>
        <a:sp3d/>
      </c:spPr>
    </c:sideWall>
    <c:backWall>
      <c:thickness val="0"/>
      <c:spPr>
        <a:noFill/>
        <a:ln>
          <a:noFill/>
        </a:ln>
        <a:effectLst/>
        <a:sp3d/>
      </c:spPr>
    </c:backWall>
    <c:plotArea>
      <c:layout/>
      <c:area3DChart>
        <c:grouping val="standard"/>
        <c:varyColors val="0"/>
        <c:ser>
          <c:idx val="0"/>
          <c:order val="0"/>
          <c:tx>
            <c:strRef>
              <c:f>'Pivot  Table'!$B$3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Table'!$A$4:$A$6</c:f>
              <c:strCache>
                <c:ptCount val="2"/>
                <c:pt idx="0">
                  <c:v>Current</c:v>
                </c:pt>
                <c:pt idx="1">
                  <c:v>PY</c:v>
                </c:pt>
              </c:strCache>
            </c:strRef>
          </c:cat>
          <c:val>
            <c:numRef>
              <c:f>'Pivot  Table'!$B$4:$B$6</c:f>
              <c:numCache>
                <c:formatCode>_-[$$-409]* #,##0_ ;_-[$$-409]* \-#,##0\ ;_-[$$-409]* "-"??_ ;_-@_ </c:formatCode>
                <c:ptCount val="2"/>
                <c:pt idx="0">
                  <c:v>579643</c:v>
                </c:pt>
                <c:pt idx="1">
                  <c:v>546785</c:v>
                </c:pt>
              </c:numCache>
            </c:numRef>
          </c:val>
          <c:extLst>
            <c:ext xmlns:c16="http://schemas.microsoft.com/office/drawing/2014/chart" uri="{C3380CC4-5D6E-409C-BE32-E72D297353CC}">
              <c16:uniqueId val="{00000000-1B62-4008-95CF-DAE7B868EF64}"/>
            </c:ext>
          </c:extLst>
        </c:ser>
        <c:dLbls>
          <c:showLegendKey val="0"/>
          <c:showVal val="0"/>
          <c:showCatName val="0"/>
          <c:showSerName val="0"/>
          <c:showPercent val="0"/>
          <c:showBubbleSize val="0"/>
        </c:dLbls>
        <c:axId val="1867497280"/>
        <c:axId val="1867491040"/>
        <c:axId val="1058465680"/>
      </c:area3DChart>
      <c:catAx>
        <c:axId val="1867497280"/>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67491040"/>
        <c:crosses val="autoZero"/>
        <c:auto val="1"/>
        <c:lblAlgn val="ctr"/>
        <c:lblOffset val="100"/>
        <c:noMultiLvlLbl val="0"/>
      </c:catAx>
      <c:valAx>
        <c:axId val="1867491040"/>
        <c:scaling>
          <c:orientation val="minMax"/>
        </c:scaling>
        <c:delete val="1"/>
        <c:axPos val="l"/>
        <c:numFmt formatCode="_-[$$-409]* #,##0_ ;_-[$$-409]* \-#,##0\ ;_-[$$-409]* &quot;-&quot;??_ ;_-@_ " sourceLinked="1"/>
        <c:majorTickMark val="none"/>
        <c:minorTickMark val="none"/>
        <c:tickLblPos val="nextTo"/>
        <c:crossAx val="1867497280"/>
        <c:crosses val="autoZero"/>
        <c:crossBetween val="midCat"/>
      </c:valAx>
      <c:serAx>
        <c:axId val="1058465680"/>
        <c:scaling>
          <c:orientation val="minMax"/>
        </c:scaling>
        <c:delete val="1"/>
        <c:axPos val="b"/>
        <c:majorTickMark val="out"/>
        <c:minorTickMark val="none"/>
        <c:tickLblPos val="nextTo"/>
        <c:crossAx val="1867491040"/>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[Copy of Slicer(Dashboard data)(1).xlsm]Pivot  Table!PivotTable2</c:name>
    <c:fmtId val="11"/>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a:solidFill>
                  <a:schemeClr val="bg1"/>
                </a:solidFill>
              </a:rPr>
              <a:t>Revenue By Countries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rgbClr val="C00000"/>
              </a:gs>
              <a:gs pos="74000">
                <a:schemeClr val="accent1">
                  <a:lumMod val="45000"/>
                  <a:lumOff val="55000"/>
                </a:schemeClr>
              </a:gs>
              <a:gs pos="80000">
                <a:schemeClr val="accent1">
                  <a:lumMod val="45000"/>
                  <a:lumOff val="55000"/>
                </a:schemeClr>
              </a:gs>
              <a:gs pos="92000">
                <a:srgbClr val="92D050"/>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7150" dist="19050" dir="5400000" algn="ctr" rotWithShape="0">
              <a:srgbClr val="000000">
                <a:alpha val="63000"/>
              </a:srgbClr>
            </a:outerShdw>
          </a:effectLst>
        </c:spPr>
        <c:marker>
          <c:symbol val="circle"/>
          <c:size val="6"/>
          <c:spPr>
            <a:gradFill rotWithShape="1">
              <a:gsLst>
                <a:gs pos="0">
                  <a:schemeClr val="accent5">
                    <a:shade val="76000"/>
                    <a:satMod val="103000"/>
                    <a:lumMod val="102000"/>
                    <a:tint val="94000"/>
                  </a:schemeClr>
                </a:gs>
                <a:gs pos="50000">
                  <a:schemeClr val="accent5">
                    <a:shade val="76000"/>
                    <a:satMod val="110000"/>
                    <a:lumMod val="100000"/>
                    <a:shade val="100000"/>
                  </a:schemeClr>
                </a:gs>
                <a:gs pos="100000">
                  <a:schemeClr val="accent5">
                    <a:shade val="76000"/>
                    <a:lumMod val="99000"/>
                    <a:satMod val="120000"/>
                    <a:shade val="78000"/>
                  </a:schemeClr>
                </a:gs>
              </a:gsLst>
              <a:lin ang="5400000" scaled="0"/>
            </a:gradFill>
            <a:ln w="9525">
              <a:solidFill>
                <a:schemeClr val="accent5">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rgbClr val="C00000"/>
              </a:gs>
              <a:gs pos="74000">
                <a:schemeClr val="accent1">
                  <a:lumMod val="45000"/>
                  <a:lumOff val="55000"/>
                </a:schemeClr>
              </a:gs>
              <a:gs pos="80000">
                <a:schemeClr val="accent1">
                  <a:lumMod val="45000"/>
                  <a:lumOff val="55000"/>
                </a:schemeClr>
              </a:gs>
              <a:gs pos="92000">
                <a:srgbClr val="92D050"/>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'Pivot  Table'!$E$3</c:f>
              <c:strCache>
                <c:ptCount val="1"/>
                <c:pt idx="0">
                  <c:v>Sum of Revenue</c:v>
                </c:pt>
              </c:strCache>
            </c:strRef>
          </c:tx>
          <c:spPr>
            <a:gradFill rotWithShape="1">
              <a:gsLst>
                <a:gs pos="0">
                  <a:srgbClr val="C00000"/>
                </a:gs>
                <a:gs pos="74000">
                  <a:schemeClr val="accent1">
                    <a:lumMod val="45000"/>
                    <a:lumOff val="55000"/>
                  </a:schemeClr>
                </a:gs>
                <a:gs pos="80000">
                  <a:schemeClr val="accent1">
                    <a:lumMod val="45000"/>
                    <a:lumOff val="55000"/>
                  </a:schemeClr>
                </a:gs>
                <a:gs pos="92000">
                  <a:srgbClr val="92D050"/>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Table'!$D$4:$D$9</c:f>
              <c:strCache>
                <c:ptCount val="5"/>
                <c:pt idx="0">
                  <c:v>Asia</c:v>
                </c:pt>
                <c:pt idx="1">
                  <c:v>Australia</c:v>
                </c:pt>
                <c:pt idx="2">
                  <c:v>Europe</c:v>
                </c:pt>
                <c:pt idx="3">
                  <c:v>North America</c:v>
                </c:pt>
                <c:pt idx="4">
                  <c:v>South America</c:v>
                </c:pt>
              </c:strCache>
            </c:strRef>
          </c:cat>
          <c:val>
            <c:numRef>
              <c:f>'Pivot  Table'!$E$4:$E$9</c:f>
              <c:numCache>
                <c:formatCode>_-[$$-409]* #,##0_ ;_-[$$-409]* \-#,##0\ ;_-[$$-409]* "-"??_ ;_-@_ </c:formatCode>
                <c:ptCount val="5"/>
                <c:pt idx="0">
                  <c:v>211293</c:v>
                </c:pt>
                <c:pt idx="1">
                  <c:v>174663</c:v>
                </c:pt>
                <c:pt idx="2">
                  <c:v>267383</c:v>
                </c:pt>
                <c:pt idx="3">
                  <c:v>253625</c:v>
                </c:pt>
                <c:pt idx="4">
                  <c:v>219464</c:v>
                </c:pt>
              </c:numCache>
            </c:numRef>
          </c:val>
          <c:extLst>
            <c:ext xmlns:c16="http://schemas.microsoft.com/office/drawing/2014/chart" uri="{C3380CC4-5D6E-409C-BE32-E72D297353CC}">
              <c16:uniqueId val="{00000000-C848-4126-93D1-62C5D8FF3A88}"/>
            </c:ext>
          </c:extLst>
        </c:ser>
        <c:dLbls>
          <c:showLegendKey val="0"/>
          <c:showVal val="0"/>
          <c:showCatName val="0"/>
          <c:showSerName val="0"/>
          <c:showPercent val="0"/>
          <c:showBubbleSize val="0"/>
        </c:dLbls>
        <c:gapWidth val="150"/>
        <c:axId val="1825166656"/>
        <c:axId val="1825167136"/>
      </c:barChart>
      <c:lineChart>
        <c:grouping val="standard"/>
        <c:varyColors val="0"/>
        <c:ser>
          <c:idx val="1"/>
          <c:order val="1"/>
          <c:tx>
            <c:strRef>
              <c:f>'Pivot  Table'!$F$3</c:f>
              <c:strCache>
                <c:ptCount val="1"/>
                <c:pt idx="0">
                  <c:v>Sum of Revenue2</c:v>
                </c:pt>
              </c:strCache>
            </c:strRef>
          </c:tx>
          <c:spPr>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cat>
            <c:strRef>
              <c:f>'Pivot  Table'!$D$4:$D$9</c:f>
              <c:strCache>
                <c:ptCount val="5"/>
                <c:pt idx="0">
                  <c:v>Asia</c:v>
                </c:pt>
                <c:pt idx="1">
                  <c:v>Australia</c:v>
                </c:pt>
                <c:pt idx="2">
                  <c:v>Europe</c:v>
                </c:pt>
                <c:pt idx="3">
                  <c:v>North America</c:v>
                </c:pt>
                <c:pt idx="4">
                  <c:v>South America</c:v>
                </c:pt>
              </c:strCache>
            </c:strRef>
          </c:cat>
          <c:val>
            <c:numRef>
              <c:f>'Pivot  Table'!$F$4:$F$9</c:f>
              <c:numCache>
                <c:formatCode>_-[$$-409]* #,##0_ ;_-[$$-409]* \-#,##0\ ;_-[$$-409]* "-"??_ ;_-@_ </c:formatCode>
                <c:ptCount val="5"/>
                <c:pt idx="0">
                  <c:v>211293</c:v>
                </c:pt>
                <c:pt idx="1">
                  <c:v>174663</c:v>
                </c:pt>
                <c:pt idx="2">
                  <c:v>267383</c:v>
                </c:pt>
                <c:pt idx="3">
                  <c:v>253625</c:v>
                </c:pt>
                <c:pt idx="4">
                  <c:v>219464</c:v>
                </c:pt>
              </c:numCache>
            </c:numRef>
          </c:val>
          <c:smooth val="0"/>
          <c:extLst>
            <c:ext xmlns:c16="http://schemas.microsoft.com/office/drawing/2014/chart" uri="{C3380CC4-5D6E-409C-BE32-E72D297353CC}">
              <c16:uniqueId val="{00000000-4496-485E-82C7-46EEF77C5C21}"/>
            </c:ext>
          </c:extLst>
        </c:ser>
        <c:dLbls>
          <c:showLegendKey val="0"/>
          <c:showVal val="0"/>
          <c:showCatName val="0"/>
          <c:showSerName val="0"/>
          <c:showPercent val="0"/>
          <c:showBubbleSize val="0"/>
        </c:dLbls>
        <c:marker val="1"/>
        <c:smooth val="0"/>
        <c:axId val="1825166656"/>
        <c:axId val="1825167136"/>
      </c:lineChart>
      <c:catAx>
        <c:axId val="182516665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25167136"/>
        <c:crosses val="autoZero"/>
        <c:auto val="1"/>
        <c:lblAlgn val="ctr"/>
        <c:lblOffset val="100"/>
        <c:noMultiLvlLbl val="0"/>
      </c:catAx>
      <c:valAx>
        <c:axId val="1825167136"/>
        <c:scaling>
          <c:orientation val="minMax"/>
        </c:scaling>
        <c:delete val="1"/>
        <c:axPos val="l"/>
        <c:numFmt formatCode="_-[$$-409]* #,##0_ ;_-[$$-409]* \-#,##0\ ;_-[$$-409]* &quot;-&quot;??_ ;_-@_ " sourceLinked="1"/>
        <c:majorTickMark val="none"/>
        <c:minorTickMark val="none"/>
        <c:tickLblPos val="nextTo"/>
        <c:crossAx val="18251666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Slicer(Dashboard data)(1).xlsm]Pivot  Table!PivotTable3</c:name>
    <c:fmtId val="1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bg1"/>
                </a:solidFill>
              </a:rPr>
              <a:t>Division wise Average Revenue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Table'!$I$3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Table'!$H$4:$H$7</c:f>
              <c:strCache>
                <c:ptCount val="3"/>
                <c:pt idx="0">
                  <c:v>Game</c:v>
                </c:pt>
                <c:pt idx="1">
                  <c:v>Productivity</c:v>
                </c:pt>
                <c:pt idx="2">
                  <c:v>Utility</c:v>
                </c:pt>
              </c:strCache>
            </c:strRef>
          </c:cat>
          <c:val>
            <c:numRef>
              <c:f>'Pivot  Table'!$I$4:$I$7</c:f>
              <c:numCache>
                <c:formatCode>_-[$$-409]* #,##0.00_ ;_-[$$-409]* \-#,##0.00\ ;_-[$$-409]* "-"??_ ;_-@_ </c:formatCode>
                <c:ptCount val="3"/>
                <c:pt idx="0">
                  <c:v>42691.4</c:v>
                </c:pt>
                <c:pt idx="1">
                  <c:v>32241.8</c:v>
                </c:pt>
                <c:pt idx="2">
                  <c:v>37709.599999999999</c:v>
                </c:pt>
              </c:numCache>
            </c:numRef>
          </c:val>
          <c:extLst>
            <c:ext xmlns:c16="http://schemas.microsoft.com/office/drawing/2014/chart" uri="{C3380CC4-5D6E-409C-BE32-E72D297353CC}">
              <c16:uniqueId val="{00000000-19B0-4DB0-80FB-62FAA4B97CA9}"/>
            </c:ext>
          </c:extLst>
        </c:ser>
        <c:dLbls>
          <c:showLegendKey val="0"/>
          <c:showVal val="0"/>
          <c:showCatName val="0"/>
          <c:showSerName val="0"/>
          <c:showPercent val="0"/>
          <c:showBubbleSize val="0"/>
        </c:dLbls>
        <c:gapWidth val="150"/>
        <c:shape val="box"/>
        <c:axId val="1065269440"/>
        <c:axId val="1065273760"/>
        <c:axId val="0"/>
      </c:bar3DChart>
      <c:catAx>
        <c:axId val="106526944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65273760"/>
        <c:crosses val="autoZero"/>
        <c:auto val="1"/>
        <c:lblAlgn val="ctr"/>
        <c:lblOffset val="100"/>
        <c:noMultiLvlLbl val="0"/>
      </c:catAx>
      <c:valAx>
        <c:axId val="1065273760"/>
        <c:scaling>
          <c:orientation val="minMax"/>
        </c:scaling>
        <c:delete val="1"/>
        <c:axPos val="b"/>
        <c:numFmt formatCode="_-[$$-409]* #,##0.00_ ;_-[$$-409]* \-#,##0.00\ ;_-[$$-409]* &quot;-&quot;??_ ;_-@_ " sourceLinked="1"/>
        <c:majorTickMark val="none"/>
        <c:minorTickMark val="none"/>
        <c:tickLblPos val="nextTo"/>
        <c:crossAx val="1065269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Slicer(Dashboard data)(1).xlsm]Pivot  Table!PivotTable4</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Max Std Deviation by Division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Table'!$L$3</c:f>
              <c:strCache>
                <c:ptCount val="1"/>
                <c:pt idx="0">
                  <c:v>Total</c:v>
                </c:pt>
              </c:strCache>
            </c:strRef>
          </c:tx>
          <c:spPr>
            <a:ln>
              <a:solidFill>
                <a:schemeClr val="accent1"/>
              </a:solidFill>
            </a:ln>
          </c:spPr>
          <c:explosion val="1"/>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extLst>
              <c:ext xmlns:c16="http://schemas.microsoft.com/office/drawing/2014/chart" uri="{C3380CC4-5D6E-409C-BE32-E72D297353CC}">
                <c16:uniqueId val="{00000001-4E16-4D72-9EC4-BB135A771711}"/>
              </c:ext>
            </c:extLst>
          </c:dPt>
          <c:dPt>
            <c:idx val="1"/>
            <c:bubble3D val="0"/>
            <c:explosion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extLst>
              <c:ext xmlns:c16="http://schemas.microsoft.com/office/drawing/2014/chart" uri="{C3380CC4-5D6E-409C-BE32-E72D297353CC}">
                <c16:uniqueId val="{00000003-4E16-4D72-9EC4-BB135A771711}"/>
              </c:ext>
            </c:extLst>
          </c:dPt>
          <c:dPt>
            <c:idx val="2"/>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extLst>
              <c:ext xmlns:c16="http://schemas.microsoft.com/office/drawing/2014/chart" uri="{C3380CC4-5D6E-409C-BE32-E72D297353CC}">
                <c16:uniqueId val="{00000005-4E16-4D72-9EC4-BB135A7717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Table'!$K$4:$K$7</c:f>
              <c:strCache>
                <c:ptCount val="3"/>
                <c:pt idx="0">
                  <c:v>Game</c:v>
                </c:pt>
                <c:pt idx="1">
                  <c:v>Productivity</c:v>
                </c:pt>
                <c:pt idx="2">
                  <c:v>Utility</c:v>
                </c:pt>
              </c:strCache>
            </c:strRef>
          </c:cat>
          <c:val>
            <c:numRef>
              <c:f>'Pivot  Table'!$L$4:$L$7</c:f>
              <c:numCache>
                <c:formatCode>0.00</c:formatCode>
                <c:ptCount val="3"/>
                <c:pt idx="0">
                  <c:v>14693.833333333314</c:v>
                </c:pt>
                <c:pt idx="1">
                  <c:v>8756.25</c:v>
                </c:pt>
                <c:pt idx="2">
                  <c:v>8972.9166666666515</c:v>
                </c:pt>
              </c:numCache>
            </c:numRef>
          </c:val>
          <c:extLst>
            <c:ext xmlns:c16="http://schemas.microsoft.com/office/drawing/2014/chart" uri="{C3380CC4-5D6E-409C-BE32-E72D297353CC}">
              <c16:uniqueId val="{00000006-4E16-4D72-9EC4-BB135A77171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solidFill>
        <a:schemeClr val="accent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Slicer(Dashboard data)(1).xlsm]Pivot  Table!PivotTable5</c:name>
    <c:fmtId val="8"/>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Region vs Total Z-Score </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6"/>
            </a:fgClr>
            <a:bgClr>
              <a:schemeClr val="lt1"/>
            </a:bgClr>
          </a:pattFill>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
          <c:idx val="0"/>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chemeClr val="accent6"/>
            </a:fgClr>
            <a:bgClr>
              <a:schemeClr val="lt1"/>
            </a:bgClr>
          </a:pattFill>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
          <c:idx val="0"/>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
          <c:idx val="0"/>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Table'!$O$3</c:f>
              <c:strCache>
                <c:ptCount val="1"/>
                <c:pt idx="0">
                  <c:v>Total</c:v>
                </c:pt>
              </c:strCache>
            </c:strRef>
          </c:tx>
          <c:spPr>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s>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6">
                          <a:lumMod val="60000"/>
                          <a:lumOff val="40000"/>
                        </a:schemeClr>
                      </a:solidFill>
                    </a:ln>
                    <a:effectLst/>
                  </c:spPr>
                </c15:leaderLines>
              </c:ext>
            </c:extLst>
          </c:dLbls>
          <c:cat>
            <c:strRef>
              <c:f>'Pivot  Table'!$N$4:$N$9</c:f>
              <c:strCache>
                <c:ptCount val="5"/>
                <c:pt idx="0">
                  <c:v>Asia</c:v>
                </c:pt>
                <c:pt idx="1">
                  <c:v>Australia</c:v>
                </c:pt>
                <c:pt idx="2">
                  <c:v>Europe</c:v>
                </c:pt>
                <c:pt idx="3">
                  <c:v>North America</c:v>
                </c:pt>
                <c:pt idx="4">
                  <c:v>South America</c:v>
                </c:pt>
              </c:strCache>
            </c:strRef>
          </c:cat>
          <c:val>
            <c:numRef>
              <c:f>'Pivot  Table'!$O$4:$O$9</c:f>
              <c:numCache>
                <c:formatCode>0.00</c:formatCode>
                <c:ptCount val="5"/>
                <c:pt idx="0">
                  <c:v>6</c:v>
                </c:pt>
                <c:pt idx="1">
                  <c:v>6</c:v>
                </c:pt>
                <c:pt idx="2">
                  <c:v>6</c:v>
                </c:pt>
                <c:pt idx="3">
                  <c:v>6</c:v>
                </c:pt>
                <c:pt idx="4">
                  <c:v>6</c:v>
                </c:pt>
              </c:numCache>
            </c:numRef>
          </c:val>
          <c:smooth val="0"/>
          <c:extLst>
            <c:ext xmlns:c16="http://schemas.microsoft.com/office/drawing/2014/chart" uri="{C3380CC4-5D6E-409C-BE32-E72D297353CC}">
              <c16:uniqueId val="{00000000-FD56-40FB-9701-4475E6DCAAC6}"/>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065267520"/>
        <c:axId val="1065265600"/>
      </c:lineChart>
      <c:catAx>
        <c:axId val="10652675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065265600"/>
        <c:crosses val="autoZero"/>
        <c:auto val="1"/>
        <c:lblAlgn val="ctr"/>
        <c:lblOffset val="100"/>
        <c:noMultiLvlLbl val="0"/>
      </c:catAx>
      <c:valAx>
        <c:axId val="1065265600"/>
        <c:scaling>
          <c:orientation val="minMax"/>
        </c:scaling>
        <c:delete val="1"/>
        <c:axPos val="l"/>
        <c:numFmt formatCode="0.00" sourceLinked="1"/>
        <c:majorTickMark val="none"/>
        <c:minorTickMark val="none"/>
        <c:tickLblPos val="nextTo"/>
        <c:crossAx val="1065267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spPr>
      <a:ln w="9525" cap="flat" cmpd="sng" algn="ctr">
        <a:solidFill>
          <a:schemeClr val="tx2">
            <a:lumMod val="40000"/>
            <a:lumOff val="60000"/>
          </a:schemeClr>
        </a:solidFill>
        <a:round/>
      </a:ln>
    </cs:spPr>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xml"/><Relationship Id="rId7" Type="http://schemas.openxmlformats.org/officeDocument/2006/relationships/chart" Target="../charts/chart5.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 Id="rId9" Type="http://schemas.openxmlformats.org/officeDocument/2006/relationships/image" Target="../media/image3.sv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457200</xdr:colOff>
      <xdr:row>37</xdr:row>
      <xdr:rowOff>85726</xdr:rowOff>
    </xdr:to>
    <xdr:grpSp>
      <xdr:nvGrpSpPr>
        <xdr:cNvPr id="25" name="Group 24">
          <a:extLst>
            <a:ext uri="{FF2B5EF4-FFF2-40B4-BE49-F238E27FC236}">
              <a16:creationId xmlns:a16="http://schemas.microsoft.com/office/drawing/2014/main" id="{C90B1F42-1594-6EEF-68C4-5A642C420BD9}"/>
            </a:ext>
          </a:extLst>
        </xdr:cNvPr>
        <xdr:cNvGrpSpPr/>
      </xdr:nvGrpSpPr>
      <xdr:grpSpPr>
        <a:xfrm>
          <a:off x="0" y="0"/>
          <a:ext cx="17526000" cy="7134226"/>
          <a:chOff x="0" y="0"/>
          <a:chExt cx="17068800" cy="7134226"/>
        </a:xfrm>
      </xdr:grpSpPr>
      <xdr:pic>
        <xdr:nvPicPr>
          <xdr:cNvPr id="9" name="Picture 8">
            <a:extLst>
              <a:ext uri="{FF2B5EF4-FFF2-40B4-BE49-F238E27FC236}">
                <a16:creationId xmlns:a16="http://schemas.microsoft.com/office/drawing/2014/main" id="{54B83355-967F-06B3-D10D-6FB5ECE6DF46}"/>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0" y="0"/>
            <a:ext cx="17068800" cy="7134226"/>
          </a:xfrm>
          <a:prstGeom prst="rect">
            <a:avLst/>
          </a:prstGeom>
          <a:ln>
            <a:noFill/>
          </a:ln>
          <a:effectLst>
            <a:outerShdw blurRad="190500" algn="tl" rotWithShape="0">
              <a:srgbClr val="000000">
                <a:alpha val="70000"/>
              </a:srgbClr>
            </a:outerShdw>
          </a:effectLst>
        </xdr:spPr>
      </xdr:pic>
      <xdr:graphicFrame macro="">
        <xdr:nvGraphicFramePr>
          <xdr:cNvPr id="10" name="Chart 9">
            <a:extLst>
              <a:ext uri="{FF2B5EF4-FFF2-40B4-BE49-F238E27FC236}">
                <a16:creationId xmlns:a16="http://schemas.microsoft.com/office/drawing/2014/main" id="{0CB753DC-B352-4F50-A8FB-621A40628C3A}"/>
              </a:ext>
            </a:extLst>
          </xdr:cNvPr>
          <xdr:cNvGraphicFramePr>
            <a:graphicFrameLocks/>
          </xdr:cNvGraphicFramePr>
        </xdr:nvGraphicFramePr>
        <xdr:xfrm>
          <a:off x="2505076" y="1619251"/>
          <a:ext cx="5819774" cy="27051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1" name="Chart 10">
            <a:extLst>
              <a:ext uri="{FF2B5EF4-FFF2-40B4-BE49-F238E27FC236}">
                <a16:creationId xmlns:a16="http://schemas.microsoft.com/office/drawing/2014/main" id="{10BA3ED3-52F2-4C30-8030-84BA04B7249C}"/>
              </a:ext>
            </a:extLst>
          </xdr:cNvPr>
          <xdr:cNvGraphicFramePr>
            <a:graphicFrameLocks/>
          </xdr:cNvGraphicFramePr>
        </xdr:nvGraphicFramePr>
        <xdr:xfrm>
          <a:off x="8391525" y="1628775"/>
          <a:ext cx="8496300" cy="2695575"/>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2" name="Chart 11">
            <a:extLst>
              <a:ext uri="{FF2B5EF4-FFF2-40B4-BE49-F238E27FC236}">
                <a16:creationId xmlns:a16="http://schemas.microsoft.com/office/drawing/2014/main" id="{837CA0D6-E85A-4F6C-AD12-216CB103CA7C}"/>
              </a:ext>
            </a:extLst>
          </xdr:cNvPr>
          <xdr:cNvGraphicFramePr>
            <a:graphicFrameLocks/>
          </xdr:cNvGraphicFramePr>
        </xdr:nvGraphicFramePr>
        <xdr:xfrm>
          <a:off x="6838951" y="4381502"/>
          <a:ext cx="6086474" cy="2619374"/>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3" name="Chart 12">
            <a:extLst>
              <a:ext uri="{FF2B5EF4-FFF2-40B4-BE49-F238E27FC236}">
                <a16:creationId xmlns:a16="http://schemas.microsoft.com/office/drawing/2014/main" id="{D87B2754-E6A2-4AD9-BFA4-6DD6BB9F3839}"/>
              </a:ext>
            </a:extLst>
          </xdr:cNvPr>
          <xdr:cNvGraphicFramePr>
            <a:graphicFrameLocks/>
          </xdr:cNvGraphicFramePr>
        </xdr:nvGraphicFramePr>
        <xdr:xfrm>
          <a:off x="2495551" y="4381501"/>
          <a:ext cx="4276724" cy="261937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2" name="Chart 1">
            <a:extLst>
              <a:ext uri="{FF2B5EF4-FFF2-40B4-BE49-F238E27FC236}">
                <a16:creationId xmlns:a16="http://schemas.microsoft.com/office/drawing/2014/main" id="{FDAFDC5E-8F42-4043-8F9F-31D056702BCF}"/>
              </a:ext>
            </a:extLst>
          </xdr:cNvPr>
          <xdr:cNvGraphicFramePr>
            <a:graphicFrameLocks/>
          </xdr:cNvGraphicFramePr>
        </xdr:nvGraphicFramePr>
        <xdr:xfrm>
          <a:off x="12992100" y="4391026"/>
          <a:ext cx="3895725" cy="2609849"/>
        </xdr:xfrm>
        <a:graphic>
          <a:graphicData uri="http://schemas.openxmlformats.org/drawingml/2006/chart">
            <c:chart xmlns:c="http://schemas.openxmlformats.org/drawingml/2006/chart" xmlns:r="http://schemas.openxmlformats.org/officeDocument/2006/relationships" r:id="rId7"/>
          </a:graphicData>
        </a:graphic>
      </xdr:graphicFrame>
      <xdr:grpSp>
        <xdr:nvGrpSpPr>
          <xdr:cNvPr id="21" name="Group 20">
            <a:extLst>
              <a:ext uri="{FF2B5EF4-FFF2-40B4-BE49-F238E27FC236}">
                <a16:creationId xmlns:a16="http://schemas.microsoft.com/office/drawing/2014/main" id="{2378CE96-B718-409F-12FA-D263DEDCFB11}"/>
              </a:ext>
            </a:extLst>
          </xdr:cNvPr>
          <xdr:cNvGrpSpPr/>
        </xdr:nvGrpSpPr>
        <xdr:grpSpPr>
          <a:xfrm>
            <a:off x="142875" y="1628776"/>
            <a:ext cx="2285999" cy="5372099"/>
            <a:chOff x="323850" y="1628776"/>
            <a:chExt cx="2105024" cy="5372099"/>
          </a:xfrm>
        </xdr:grpSpPr>
        <mc:AlternateContent xmlns:mc="http://schemas.openxmlformats.org/markup-compatibility/2006">
          <mc:Choice xmlns:a14="http://schemas.microsoft.com/office/drawing/2010/main" Requires="a14">
            <xdr:graphicFrame macro="">
              <xdr:nvGraphicFramePr>
                <xdr:cNvPr id="5" name="Year">
                  <a:extLst>
                    <a:ext uri="{FF2B5EF4-FFF2-40B4-BE49-F238E27FC236}">
                      <a16:creationId xmlns:a16="http://schemas.microsoft.com/office/drawing/2014/main" id="{856CAAB7-60E9-AB85-D834-B41AA94EA353}"/>
                    </a:ext>
                  </a:extLst>
                </xdr:cNvPr>
                <xdr:cNvGraphicFramePr/>
              </xdr:nvGraphicFramePr>
              <xdr:xfrm>
                <a:off x="333375" y="1628776"/>
                <a:ext cx="2095499" cy="135255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57323" y="1628776"/>
                  <a:ext cx="2336610" cy="1352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6" name="Division">
                  <a:extLst>
                    <a:ext uri="{FF2B5EF4-FFF2-40B4-BE49-F238E27FC236}">
                      <a16:creationId xmlns:a16="http://schemas.microsoft.com/office/drawing/2014/main" id="{8386A553-64C1-3F8E-B092-30B18827E28F}"/>
                    </a:ext>
                  </a:extLst>
                </xdr:cNvPr>
                <xdr:cNvGraphicFramePr/>
              </xdr:nvGraphicFramePr>
              <xdr:xfrm>
                <a:off x="323850" y="3028951"/>
                <a:ext cx="2095499" cy="1495424"/>
              </xdr:xfrm>
              <a:graphic>
                <a:graphicData uri="http://schemas.microsoft.com/office/drawing/2010/slicer">
                  <sle:slicer xmlns:sle="http://schemas.microsoft.com/office/drawing/2010/slicer" name="Division"/>
                </a:graphicData>
              </a:graphic>
            </xdr:graphicFrame>
          </mc:Choice>
          <mc:Fallback>
            <xdr:sp macro="" textlink="">
              <xdr:nvSpPr>
                <xdr:cNvPr id="0" name=""/>
                <xdr:cNvSpPr>
                  <a:spLocks noTextEdit="1"/>
                </xdr:cNvSpPr>
              </xdr:nvSpPr>
              <xdr:spPr>
                <a:xfrm>
                  <a:off x="146702" y="3028951"/>
                  <a:ext cx="2336610" cy="14954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9CF92131-330D-4491-0F18-5E3F8FC5F9FC}"/>
                    </a:ext>
                  </a:extLst>
                </xdr:cNvPr>
                <xdr:cNvGraphicFramePr/>
              </xdr:nvGraphicFramePr>
              <xdr:xfrm>
                <a:off x="342899" y="4572000"/>
                <a:ext cx="2066925" cy="2428875"/>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67943" y="4572000"/>
                  <a:ext cx="2304748" cy="2428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20" name="Group 19">
            <a:extLst>
              <a:ext uri="{FF2B5EF4-FFF2-40B4-BE49-F238E27FC236}">
                <a16:creationId xmlns:a16="http://schemas.microsoft.com/office/drawing/2014/main" id="{5237BBF2-6EC8-189A-DE23-011B2714ED24}"/>
              </a:ext>
            </a:extLst>
          </xdr:cNvPr>
          <xdr:cNvGrpSpPr/>
        </xdr:nvGrpSpPr>
        <xdr:grpSpPr>
          <a:xfrm>
            <a:off x="7410450" y="295275"/>
            <a:ext cx="7191375" cy="1095376"/>
            <a:chOff x="7410450" y="295275"/>
            <a:chExt cx="7191375" cy="1095376"/>
          </a:xfrm>
        </xdr:grpSpPr>
        <xdr:grpSp>
          <xdr:nvGrpSpPr>
            <xdr:cNvPr id="18" name="Group 17">
              <a:extLst>
                <a:ext uri="{FF2B5EF4-FFF2-40B4-BE49-F238E27FC236}">
                  <a16:creationId xmlns:a16="http://schemas.microsoft.com/office/drawing/2014/main" id="{A4896C55-A091-130B-EC72-2C29AFC1772D}"/>
                </a:ext>
              </a:extLst>
            </xdr:cNvPr>
            <xdr:cNvGrpSpPr/>
          </xdr:nvGrpSpPr>
          <xdr:grpSpPr>
            <a:xfrm>
              <a:off x="7410450" y="295276"/>
              <a:ext cx="3171826" cy="1095375"/>
              <a:chOff x="5676901" y="285751"/>
              <a:chExt cx="2800350" cy="1095375"/>
            </a:xfrm>
          </xdr:grpSpPr>
          <xdr:sp macro="" textlink="'Pivot  Table'!B6">
            <xdr:nvSpPr>
              <xdr:cNvPr id="14" name="Rectangle: Rounded Corners 13">
                <a:extLst>
                  <a:ext uri="{FF2B5EF4-FFF2-40B4-BE49-F238E27FC236}">
                    <a16:creationId xmlns:a16="http://schemas.microsoft.com/office/drawing/2014/main" id="{F2BE4FFD-3CC0-E788-7873-194D4FD5601D}"/>
                  </a:ext>
                </a:extLst>
              </xdr:cNvPr>
              <xdr:cNvSpPr/>
            </xdr:nvSpPr>
            <xdr:spPr>
              <a:xfrm>
                <a:off x="5676901" y="285751"/>
                <a:ext cx="2800350" cy="1095375"/>
              </a:xfrm>
              <a:prstGeom prst="round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8D6B313-6E98-443C-A271-30A01AEF29B8}" type="TxLink">
                  <a:rPr lang="en-US" sz="1800" b="1" i="0" u="none" strike="noStrike">
                    <a:solidFill>
                      <a:schemeClr val="tx2">
                        <a:lumMod val="50000"/>
                      </a:schemeClr>
                    </a:solidFill>
                    <a:latin typeface="Dubai Medium" panose="020F0502020204030204" pitchFamily="34" charset="-78"/>
                    <a:ea typeface="Calibri"/>
                    <a:cs typeface="Dubai Medium" panose="020F0502020204030204" pitchFamily="34" charset="-78"/>
                  </a:rPr>
                  <a:pPr algn="ctr"/>
                  <a:t> $11,26,428 </a:t>
                </a:fld>
                <a:endParaRPr lang="en-IN" sz="1800" b="1">
                  <a:solidFill>
                    <a:schemeClr val="tx2">
                      <a:lumMod val="50000"/>
                    </a:schemeClr>
                  </a:solidFill>
                  <a:latin typeface="Dubai Medium" panose="020F0502020204030204" pitchFamily="34" charset="-78"/>
                  <a:cs typeface="Dubai Medium" panose="020F0502020204030204" pitchFamily="34" charset="-78"/>
                </a:endParaRPr>
              </a:p>
            </xdr:txBody>
          </xdr:sp>
          <xdr:sp macro="" textlink="">
            <xdr:nvSpPr>
              <xdr:cNvPr id="16" name="TextBox 15">
                <a:extLst>
                  <a:ext uri="{FF2B5EF4-FFF2-40B4-BE49-F238E27FC236}">
                    <a16:creationId xmlns:a16="http://schemas.microsoft.com/office/drawing/2014/main" id="{3AAE9EBB-FAA7-4D41-CBAA-415EBBF44D22}"/>
                  </a:ext>
                </a:extLst>
              </xdr:cNvPr>
              <xdr:cNvSpPr txBox="1"/>
            </xdr:nvSpPr>
            <xdr:spPr>
              <a:xfrm>
                <a:off x="5987964" y="504825"/>
                <a:ext cx="2222077"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en-IN" sz="2000" b="1">
                    <a:solidFill>
                      <a:schemeClr val="tx2">
                        <a:lumMod val="50000"/>
                      </a:schemeClr>
                    </a:solidFill>
                  </a:rPr>
                  <a:t>Sum of Total Revenue</a:t>
                </a:r>
              </a:p>
            </xdr:txBody>
          </xdr:sp>
        </xdr:grpSp>
        <xdr:grpSp>
          <xdr:nvGrpSpPr>
            <xdr:cNvPr id="19" name="Group 18">
              <a:extLst>
                <a:ext uri="{FF2B5EF4-FFF2-40B4-BE49-F238E27FC236}">
                  <a16:creationId xmlns:a16="http://schemas.microsoft.com/office/drawing/2014/main" id="{D97A57C9-B11F-5554-5B03-6650B7C0FC26}"/>
                </a:ext>
              </a:extLst>
            </xdr:cNvPr>
            <xdr:cNvGrpSpPr/>
          </xdr:nvGrpSpPr>
          <xdr:grpSpPr>
            <a:xfrm>
              <a:off x="11001374" y="295275"/>
              <a:ext cx="3600451" cy="1095375"/>
              <a:chOff x="8896350" y="285750"/>
              <a:chExt cx="3105150" cy="1095375"/>
            </a:xfrm>
          </xdr:grpSpPr>
          <xdr:sp macro="" textlink="'Pivot  Table'!I7">
            <xdr:nvSpPr>
              <xdr:cNvPr id="15" name="Rectangle: Rounded Corners 14">
                <a:extLst>
                  <a:ext uri="{FF2B5EF4-FFF2-40B4-BE49-F238E27FC236}">
                    <a16:creationId xmlns:a16="http://schemas.microsoft.com/office/drawing/2014/main" id="{C3FAA2A4-3A65-4174-AFC1-6EEEF88917F4}"/>
                  </a:ext>
                </a:extLst>
              </xdr:cNvPr>
              <xdr:cNvSpPr/>
            </xdr:nvSpPr>
            <xdr:spPr>
              <a:xfrm>
                <a:off x="8896350" y="285750"/>
                <a:ext cx="3105150" cy="1095375"/>
              </a:xfrm>
              <a:prstGeom prst="round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326E705-C30F-4883-9CA6-1F995ABDECE8}" type="TxLink">
                  <a:rPr lang="en-US" sz="1800" b="1" i="0" u="none" strike="noStrike">
                    <a:solidFill>
                      <a:schemeClr val="tx2">
                        <a:lumMod val="50000"/>
                      </a:schemeClr>
                    </a:solidFill>
                    <a:latin typeface="Dubai Medium" panose="020B0603030403030204" pitchFamily="34" charset="-78"/>
                    <a:ea typeface="Calibri"/>
                    <a:cs typeface="Dubai Medium" panose="020B0603030403030204" pitchFamily="34" charset="-78"/>
                  </a:rPr>
                  <a:pPr algn="ctr"/>
                  <a:t> $37,547.60 </a:t>
                </a:fld>
                <a:endParaRPr lang="en-IN" sz="1800" b="1">
                  <a:solidFill>
                    <a:schemeClr val="tx2">
                      <a:lumMod val="50000"/>
                    </a:schemeClr>
                  </a:solidFill>
                  <a:latin typeface="Dubai Medium" panose="020B0603030403030204" pitchFamily="34" charset="-78"/>
                  <a:cs typeface="Dubai Medium" panose="020B0603030403030204" pitchFamily="34" charset="-78"/>
                </a:endParaRPr>
              </a:p>
            </xdr:txBody>
          </xdr:sp>
          <xdr:sp macro="" textlink="">
            <xdr:nvSpPr>
              <xdr:cNvPr id="17" name="TextBox 16">
                <a:extLst>
                  <a:ext uri="{FF2B5EF4-FFF2-40B4-BE49-F238E27FC236}">
                    <a16:creationId xmlns:a16="http://schemas.microsoft.com/office/drawing/2014/main" id="{9B15FC4E-B89D-49D9-AE16-A15732FA7DBA}"/>
                  </a:ext>
                </a:extLst>
              </xdr:cNvPr>
              <xdr:cNvSpPr txBox="1"/>
            </xdr:nvSpPr>
            <xdr:spPr>
              <a:xfrm>
                <a:off x="9222569" y="476250"/>
                <a:ext cx="260642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000" b="1">
                    <a:solidFill>
                      <a:schemeClr val="tx2">
                        <a:lumMod val="50000"/>
                      </a:schemeClr>
                    </a:solidFill>
                  </a:rPr>
                  <a:t>Sum of Average Revenue</a:t>
                </a:r>
              </a:p>
            </xdr:txBody>
          </xdr:sp>
        </xdr:grpSp>
      </xdr:grpSp>
      <xdr:grpSp>
        <xdr:nvGrpSpPr>
          <xdr:cNvPr id="24" name="Group 23">
            <a:extLst>
              <a:ext uri="{FF2B5EF4-FFF2-40B4-BE49-F238E27FC236}">
                <a16:creationId xmlns:a16="http://schemas.microsoft.com/office/drawing/2014/main" id="{996CA8D1-0940-C897-12F0-D82265DB94B2}"/>
              </a:ext>
            </a:extLst>
          </xdr:cNvPr>
          <xdr:cNvGrpSpPr/>
        </xdr:nvGrpSpPr>
        <xdr:grpSpPr>
          <a:xfrm>
            <a:off x="161925" y="57149"/>
            <a:ext cx="4708249" cy="1562175"/>
            <a:chOff x="161925" y="57149"/>
            <a:chExt cx="4708249" cy="1562175"/>
          </a:xfrm>
        </xdr:grpSpPr>
        <xdr:sp macro="" textlink="">
          <xdr:nvSpPr>
            <xdr:cNvPr id="4" name="Rectangle: Diagonal Corners Snipped 3">
              <a:extLst>
                <a:ext uri="{FF2B5EF4-FFF2-40B4-BE49-F238E27FC236}">
                  <a16:creationId xmlns:a16="http://schemas.microsoft.com/office/drawing/2014/main" id="{B51067DF-2B7A-5A78-55AE-CDD8C0DBBA57}"/>
                </a:ext>
              </a:extLst>
            </xdr:cNvPr>
            <xdr:cNvSpPr/>
          </xdr:nvSpPr>
          <xdr:spPr>
            <a:xfrm>
              <a:off x="161925" y="152401"/>
              <a:ext cx="4708249" cy="1371600"/>
            </a:xfrm>
            <a:prstGeom prst="snip2Diag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3200" b="1">
                  <a:solidFill>
                    <a:schemeClr val="tx2">
                      <a:lumMod val="50000"/>
                    </a:schemeClr>
                  </a:solidFill>
                  <a:latin typeface="Bahnschrift SemiBold" panose="020B0502040204020203" pitchFamily="34" charset="0"/>
                </a:rPr>
                <a:t>REVENUE </a:t>
              </a:r>
            </a:p>
            <a:p>
              <a:pPr algn="l"/>
              <a:r>
                <a:rPr lang="en-IN" sz="3200" b="1">
                  <a:solidFill>
                    <a:schemeClr val="tx2">
                      <a:lumMod val="50000"/>
                    </a:schemeClr>
                  </a:solidFill>
                  <a:latin typeface="Bahnschrift SemiBold" panose="020B0502040204020203" pitchFamily="34" charset="0"/>
                </a:rPr>
                <a:t>DASHBOARD</a:t>
              </a:r>
            </a:p>
          </xdr:txBody>
        </xdr:sp>
        <xdr:pic>
          <xdr:nvPicPr>
            <xdr:cNvPr id="23" name="Graphic 22" descr="Gauge">
              <a:extLst>
                <a:ext uri="{FF2B5EF4-FFF2-40B4-BE49-F238E27FC236}">
                  <a16:creationId xmlns:a16="http://schemas.microsoft.com/office/drawing/2014/main" id="{99D36191-4B6A-44EF-234E-629B2EADE03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819399" y="57149"/>
              <a:ext cx="1514476" cy="1562175"/>
            </a:xfrm>
            <a:prstGeom prst="rect">
              <a:avLst/>
            </a:prstGeom>
          </xdr:spPr>
        </xdr:pic>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lesh Gajbhiye" refreshedDate="45755.666669328704" createdVersion="8" refreshedVersion="8" minRefreshableVersion="3" recordCount="30" xr:uid="{30B1D9B2-D0A5-415C-97FB-61DB6BA9E3DE}">
  <cacheSource type="worksheet">
    <worksheetSource name="RawData"/>
  </cacheSource>
  <cacheFields count="7">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165">
      <sharedItems containsSemiMixedTypes="0" containsString="0" containsNumber="1" containsInteger="1" minValue="11598" maxValue="65965"/>
    </cacheField>
    <cacheField name="Average by region" numFmtId="0">
      <sharedItems containsSemiMixedTypes="0" containsString="0" containsNumber="1" minValue="29110.5" maxValue="44563.833333333336"/>
    </cacheField>
    <cacheField name="Std. Deviation" numFmtId="2">
      <sharedItems containsSemiMixedTypes="0" containsString="0" containsNumber="1" minValue="83.25" maxValue="14693.833333333314"/>
    </cacheField>
    <cacheField name="Z-Score" numFmtId="165">
      <sharedItems containsSemiMixedTypes="0" containsString="0" containsNumber="1" minValue="-2.000000000000012" maxValue="2.0000000000000164"/>
    </cacheField>
  </cacheFields>
  <extLst>
    <ext xmlns:x14="http://schemas.microsoft.com/office/spreadsheetml/2009/9/main" uri="{725AE2AE-9491-48be-B2B4-4EB974FC3084}">
      <x14:pivotCacheDefinition pivotCacheId="16925256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44196"/>
    <n v="42270.833333333336"/>
    <n v="962.58333333333212"/>
    <n v="2"/>
  </r>
  <r>
    <x v="0"/>
    <x v="0"/>
    <x v="1"/>
    <n v="20898"/>
    <n v="36577.333333333336"/>
    <n v="7839.6666666666652"/>
    <n v="-2.0000000000000009"/>
  </r>
  <r>
    <x v="0"/>
    <x v="0"/>
    <x v="2"/>
    <n v="46994"/>
    <n v="35215.5"/>
    <n v="5889.25"/>
    <n v="2"/>
  </r>
  <r>
    <x v="0"/>
    <x v="0"/>
    <x v="3"/>
    <n v="43695"/>
    <n v="44563.833333333336"/>
    <n v="434.41666666666788"/>
    <n v="-2"/>
  </r>
  <r>
    <x v="0"/>
    <x v="0"/>
    <x v="4"/>
    <n v="34196"/>
    <n v="29110.5"/>
    <n v="2542.75"/>
    <n v="2"/>
  </r>
  <r>
    <x v="0"/>
    <x v="1"/>
    <x v="0"/>
    <n v="34155"/>
    <n v="42270.833333333336"/>
    <n v="4057.9166666666438"/>
    <n v="-2.000000000000012"/>
  </r>
  <r>
    <x v="0"/>
    <x v="1"/>
    <x v="1"/>
    <n v="24396"/>
    <n v="36577.333333333336"/>
    <n v="6090.6666666666642"/>
    <n v="-2.0000000000000013"/>
  </r>
  <r>
    <x v="0"/>
    <x v="1"/>
    <x v="2"/>
    <n v="29276"/>
    <n v="35215.5"/>
    <n v="2969.75"/>
    <n v="-2"/>
  </r>
  <r>
    <x v="0"/>
    <x v="1"/>
    <x v="3"/>
    <n v="45540"/>
    <n v="44563.833333333336"/>
    <n v="488.08333333333212"/>
    <n v="2"/>
  </r>
  <r>
    <x v="0"/>
    <x v="1"/>
    <x v="4"/>
    <n v="29277"/>
    <n v="29110.5"/>
    <n v="83.25"/>
    <n v="2"/>
  </r>
  <r>
    <x v="0"/>
    <x v="2"/>
    <x v="0"/>
    <n v="44675"/>
    <n v="42270.833333333336"/>
    <n v="1202.0833333333321"/>
    <n v="2"/>
  </r>
  <r>
    <x v="0"/>
    <x v="2"/>
    <x v="1"/>
    <n v="42569"/>
    <n v="36577.333333333336"/>
    <n v="2995.8333333333321"/>
    <n v="2"/>
  </r>
  <r>
    <x v="0"/>
    <x v="2"/>
    <x v="2"/>
    <n v="43784"/>
    <n v="35215.5"/>
    <n v="4284.25"/>
    <n v="2"/>
  </r>
  <r>
    <x v="0"/>
    <x v="2"/>
    <x v="3"/>
    <n v="46336"/>
    <n v="44563.833333333336"/>
    <n v="886.08333333333212"/>
    <n v="2"/>
  </r>
  <r>
    <x v="0"/>
    <x v="2"/>
    <x v="4"/>
    <n v="49656"/>
    <n v="29110.5"/>
    <n v="10272.75"/>
    <n v="2"/>
  </r>
  <r>
    <x v="1"/>
    <x v="0"/>
    <x v="0"/>
    <n v="24325"/>
    <n v="42270.833333333336"/>
    <n v="8972.9166666666515"/>
    <n v="-2.0000000000000036"/>
  </r>
  <r>
    <x v="1"/>
    <x v="0"/>
    <x v="1"/>
    <n v="33681"/>
    <n v="36577.333333333336"/>
    <n v="1448.1666666666679"/>
    <n v="-2"/>
  </r>
  <r>
    <x v="1"/>
    <x v="0"/>
    <x v="2"/>
    <n v="39295"/>
    <n v="35215.5"/>
    <n v="2039.75"/>
    <n v="2"/>
  </r>
  <r>
    <x v="1"/>
    <x v="0"/>
    <x v="3"/>
    <n v="59878"/>
    <n v="44563.833333333336"/>
    <n v="7657.0833333333057"/>
    <n v="2.0000000000000071"/>
  </r>
  <r>
    <x v="1"/>
    <x v="0"/>
    <x v="4"/>
    <n v="29938"/>
    <n v="29110.5"/>
    <n v="413.75"/>
    <n v="2"/>
  </r>
  <r>
    <x v="1"/>
    <x v="1"/>
    <x v="0"/>
    <n v="52311"/>
    <n v="42270.833333333336"/>
    <n v="5020.0833333332912"/>
    <n v="2.0000000000000164"/>
  </r>
  <r>
    <x v="1"/>
    <x v="1"/>
    <x v="1"/>
    <n v="31955"/>
    <n v="36577.333333333336"/>
    <n v="2311.1666666666679"/>
    <n v="-2"/>
  </r>
  <r>
    <x v="1"/>
    <x v="1"/>
    <x v="2"/>
    <n v="31955"/>
    <n v="35215.5"/>
    <n v="1630.25"/>
    <n v="-2"/>
  </r>
  <r>
    <x v="1"/>
    <x v="1"/>
    <x v="3"/>
    <n v="31955"/>
    <n v="44563.833333333336"/>
    <n v="6304.4166666666642"/>
    <n v="-2.0000000000000013"/>
  </r>
  <r>
    <x v="1"/>
    <x v="1"/>
    <x v="4"/>
    <n v="11598"/>
    <n v="29110.5"/>
    <n v="8756.25"/>
    <n v="-2"/>
  </r>
  <r>
    <x v="1"/>
    <x v="2"/>
    <x v="0"/>
    <n v="53963"/>
    <n v="42270.833333333336"/>
    <n v="5846.0833333332839"/>
    <n v="2.0000000000000164"/>
  </r>
  <r>
    <x v="1"/>
    <x v="2"/>
    <x v="1"/>
    <n v="65965"/>
    <n v="36577.333333333336"/>
    <n v="14693.833333333314"/>
    <n v="2.0000000000000027"/>
  </r>
  <r>
    <x v="1"/>
    <x v="2"/>
    <x v="2"/>
    <n v="19989"/>
    <n v="35215.5"/>
    <n v="7613.25"/>
    <n v="-2"/>
  </r>
  <r>
    <x v="1"/>
    <x v="2"/>
    <x v="3"/>
    <n v="39979"/>
    <n v="44563.833333333336"/>
    <n v="2292.4166666666679"/>
    <n v="-2"/>
  </r>
  <r>
    <x v="1"/>
    <x v="2"/>
    <x v="4"/>
    <n v="19998"/>
    <n v="29110.5"/>
    <n v="4556.25"/>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4CB366-35F3-44F1-BAF3-93BB1A89EA82}"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2">
  <location ref="K3:L7" firstHeaderRow="1" firstDataRow="1" firstDataCol="1"/>
  <pivotFields count="7">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numFmtId="164" showAll="0"/>
    <pivotField showAll="0"/>
    <pivotField dataField="1" numFmtId="2" showAll="0"/>
    <pivotField numFmtId="165" showAll="0"/>
  </pivotFields>
  <rowFields count="1">
    <field x="1"/>
  </rowFields>
  <rowItems count="4">
    <i>
      <x/>
    </i>
    <i>
      <x v="1"/>
    </i>
    <i>
      <x v="2"/>
    </i>
    <i t="grand">
      <x/>
    </i>
  </rowItems>
  <colItems count="1">
    <i/>
  </colItems>
  <dataFields count="1">
    <dataField name="Max of Std. Deviation" fld="5" subtotal="max" baseField="1" baseItem="0" numFmtId="2"/>
  </dataFields>
  <formats count="1">
    <format dxfId="80">
      <pivotArea outline="0" collapsedLevelsAreSubtotals="1" fieldPosition="0"/>
    </format>
  </formats>
  <chartFormats count="13">
    <chartFormat chart="0" format="0"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1" count="1" selected="0">
            <x v="0"/>
          </reference>
        </references>
      </pivotArea>
    </chartFormat>
    <chartFormat chart="6" format="7">
      <pivotArea type="data" outline="0" fieldPosition="0">
        <references count="2">
          <reference field="4294967294" count="1" selected="0">
            <x v="0"/>
          </reference>
          <reference field="1" count="1" selected="0">
            <x v="1"/>
          </reference>
        </references>
      </pivotArea>
    </chartFormat>
    <chartFormat chart="6" format="8">
      <pivotArea type="data" outline="0" fieldPosition="0">
        <references count="2">
          <reference field="4294967294" count="1" selected="0">
            <x v="0"/>
          </reference>
          <reference field="1" count="1" selected="0">
            <x v="2"/>
          </reference>
        </references>
      </pivotArea>
    </chartFormat>
    <chartFormat chart="9" format="9" series="1">
      <pivotArea type="data" outline="0" fieldPosition="0">
        <references count="1">
          <reference field="4294967294" count="1" selected="0">
            <x v="0"/>
          </reference>
        </references>
      </pivotArea>
    </chartFormat>
    <chartFormat chart="9" format="10">
      <pivotArea type="data" outline="0" fieldPosition="0">
        <references count="2">
          <reference field="4294967294" count="1" selected="0">
            <x v="0"/>
          </reference>
          <reference field="1" count="1" selected="0">
            <x v="0"/>
          </reference>
        </references>
      </pivotArea>
    </chartFormat>
    <chartFormat chart="9" format="11">
      <pivotArea type="data" outline="0" fieldPosition="0">
        <references count="2">
          <reference field="4294967294" count="1" selected="0">
            <x v="0"/>
          </reference>
          <reference field="1" count="1" selected="0">
            <x v="1"/>
          </reference>
        </references>
      </pivotArea>
    </chartFormat>
    <chartFormat chart="9" format="12">
      <pivotArea type="data" outline="0" fieldPosition="0">
        <references count="2">
          <reference field="4294967294" count="1" selected="0">
            <x v="0"/>
          </reference>
          <reference field="1" count="1" selected="0">
            <x v="2"/>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 count="1" selected="0">
            <x v="0"/>
          </reference>
        </references>
      </pivotArea>
    </chartFormat>
    <chartFormat chart="10" format="15">
      <pivotArea type="data" outline="0" fieldPosition="0">
        <references count="2">
          <reference field="4294967294" count="1" selected="0">
            <x v="0"/>
          </reference>
          <reference field="1" count="1" selected="0">
            <x v="1"/>
          </reference>
        </references>
      </pivotArea>
    </chartFormat>
    <chartFormat chart="10" format="16">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75A45E-F4A3-4CA9-94CA-25088D3D0969}"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1">
  <location ref="H3:I7" firstHeaderRow="1" firstDataRow="1" firstDataCol="1"/>
  <pivotFields count="7">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numFmtId="164" showAll="0"/>
    <pivotField showAll="0"/>
    <pivotField numFmtId="2" showAll="0"/>
    <pivotField numFmtId="165" showAll="0"/>
  </pivotFields>
  <rowFields count="1">
    <field x="1"/>
  </rowFields>
  <rowItems count="4">
    <i>
      <x/>
    </i>
    <i>
      <x v="1"/>
    </i>
    <i>
      <x v="2"/>
    </i>
    <i t="grand">
      <x/>
    </i>
  </rowItems>
  <colItems count="1">
    <i/>
  </colItems>
  <dataFields count="1">
    <dataField name="Average of Revenue" fld="3" subtotal="average" baseField="1" baseItem="0" numFmtId="164"/>
  </dataFields>
  <formats count="1">
    <format dxfId="81">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24FBEB-7EEE-4F11-A8EA-384C26C3BDB2}"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6">
  <location ref="D3:F9" firstHeaderRow="0" firstDataRow="1" firstDataCol="1"/>
  <pivotFields count="7">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numFmtId="164" showAll="0"/>
    <pivotField showAll="0"/>
    <pivotField numFmtId="2" showAll="0"/>
    <pivotField numFmtId="165" showAll="0"/>
  </pivotFields>
  <rowFields count="1">
    <field x="2"/>
  </rowFields>
  <rowItems count="6">
    <i>
      <x/>
    </i>
    <i>
      <x v="1"/>
    </i>
    <i>
      <x v="2"/>
    </i>
    <i>
      <x v="3"/>
    </i>
    <i>
      <x v="4"/>
    </i>
    <i t="grand">
      <x/>
    </i>
  </rowItems>
  <colFields count="1">
    <field x="-2"/>
  </colFields>
  <colItems count="2">
    <i>
      <x/>
    </i>
    <i i="1">
      <x v="1"/>
    </i>
  </colItems>
  <dataFields count="2">
    <dataField name="Sum of Revenue" fld="3" baseField="0" baseItem="0" numFmtId="165"/>
    <dataField name="Sum of Revenue2" fld="3" baseField="0" baseItem="0" numFmtId="164"/>
  </dataFields>
  <formats count="1">
    <format dxfId="82">
      <pivotArea outline="0" collapsedLevelsAreSubtotals="1" fieldPosition="0"/>
    </format>
  </formats>
  <chartFormats count="4">
    <chartFormat chart="5"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1"/>
          </reference>
        </references>
      </pivotArea>
    </chartFormat>
    <chartFormat chart="11" format="6">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C241949-CAC4-4DCF-9C26-64DAA8606469}"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7">
  <location ref="A3:B6" firstHeaderRow="1" firstDataRow="1" firstDataCol="1"/>
  <pivotFields count="7">
    <pivotField axis="axisRow"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numFmtId="164" showAll="0"/>
    <pivotField showAll="0"/>
    <pivotField numFmtId="2" showAll="0"/>
    <pivotField numFmtId="165" showAll="0"/>
  </pivotFields>
  <rowFields count="1">
    <field x="0"/>
  </rowFields>
  <rowItems count="3">
    <i>
      <x/>
    </i>
    <i>
      <x v="1"/>
    </i>
    <i t="grand">
      <x/>
    </i>
  </rowItems>
  <colItems count="1">
    <i/>
  </colItems>
  <dataFields count="1">
    <dataField name="Sum of Revenue" fld="3" baseField="0" baseItem="0" numFmtId="165"/>
  </dataFields>
  <formats count="1">
    <format dxfId="83">
      <pivotArea outline="0" collapsedLevelsAreSubtotals="1" fieldPosition="0"/>
    </format>
  </formats>
  <chartFormats count="4">
    <chartFormat chart="9" format="2"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 chart="16" format="5">
      <pivotArea type="data" outline="0" fieldPosition="0">
        <references count="2">
          <reference field="4294967294" count="1" selected="0">
            <x v="0"/>
          </reference>
          <reference field="0" count="1" selected="0">
            <x v="1"/>
          </reference>
        </references>
      </pivotArea>
    </chartFormat>
    <chartFormat chart="16" format="6">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BCB0E68-766C-4F11-A80C-30B3A289FCEE}"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9">
  <location ref="N3:O9" firstHeaderRow="1" firstDataRow="1" firstDataCol="1"/>
  <pivotFields count="7">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numFmtId="164" showAll="0"/>
    <pivotField showAll="0"/>
    <pivotField numFmtId="2" showAll="0"/>
    <pivotField dataField="1" numFmtId="165" showAll="0"/>
  </pivotFields>
  <rowFields count="1">
    <field x="2"/>
  </rowFields>
  <rowItems count="6">
    <i>
      <x/>
    </i>
    <i>
      <x v="1"/>
    </i>
    <i>
      <x v="2"/>
    </i>
    <i>
      <x v="3"/>
    </i>
    <i>
      <x v="4"/>
    </i>
    <i t="grand">
      <x/>
    </i>
  </rowItems>
  <colItems count="1">
    <i/>
  </colItems>
  <dataFields count="1">
    <dataField name="Count of Z-Score" fld="6" subtotal="count" baseField="2" baseItem="1" numFmtId="2"/>
  </dataFields>
  <formats count="1">
    <format dxfId="84">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AA01651-6437-4CA2-96C8-7963BDFD2C80}" sourceName="Year">
  <pivotTables>
    <pivotTable tabId="4" name="PivotTable4"/>
    <pivotTable tabId="4" name="PivotTable1"/>
    <pivotTable tabId="4" name="PivotTable2"/>
    <pivotTable tabId="4" name="PivotTable3"/>
    <pivotTable tabId="4" name="PivotTable5"/>
  </pivotTables>
  <data>
    <tabular pivotCacheId="1692525613">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5E4C2BC9-6F07-43D6-BFCB-62ACABB5B6C0}" sourceName="Division">
  <pivotTables>
    <pivotTable tabId="4" name="PivotTable4"/>
    <pivotTable tabId="4" name="PivotTable1"/>
    <pivotTable tabId="4" name="PivotTable2"/>
    <pivotTable tabId="4" name="PivotTable3"/>
    <pivotTable tabId="4" name="PivotTable5"/>
  </pivotTables>
  <data>
    <tabular pivotCacheId="1692525613">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C2E0CF7-4104-40BE-9607-E460EE1D6057}" sourceName="Region">
  <pivotTables>
    <pivotTable tabId="4" name="PivotTable4"/>
    <pivotTable tabId="4" name="PivotTable1"/>
    <pivotTable tabId="4" name="PivotTable2"/>
    <pivotTable tabId="4" name="PivotTable3"/>
    <pivotTable tabId="4" name="PivotTable5"/>
  </pivotTables>
  <data>
    <tabular pivotCacheId="1692525613">
      <items count="5">
        <i x="2" s="1"/>
        <i x="4"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EABAD01-74F1-4308-8247-6C52BF6E3555}" cache="Slicer_Year" caption="Year" style="SlicerStyleLight5" rowHeight="241300"/>
  <slicer name="Division" xr10:uid="{368B1A8A-81DE-4CA2-BA89-BCA4344137BD}" cache="Slicer_Division" caption="Division" style="SlicerStyleLight5" rowHeight="241300"/>
  <slicer name="Region" xr10:uid="{10623876-0FEE-4DDB-9DE4-51B5C2495430}" cache="Slicer_Region" caption="Region" style="SlicerStyleLight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G31" totalsRowShown="0" headerRowDxfId="89">
  <autoFilter ref="A1:G31" xr:uid="{00000000-0009-0000-0100-000001000000}"/>
  <tableColumns count="7">
    <tableColumn id="1" xr3:uid="{00000000-0010-0000-0000-000001000000}" name="Year"/>
    <tableColumn id="2" xr3:uid="{00000000-0010-0000-0000-000002000000}" name="Division"/>
    <tableColumn id="3" xr3:uid="{00000000-0010-0000-0000-000003000000}" name="Region"/>
    <tableColumn id="4" xr3:uid="{00000000-0010-0000-0000-000004000000}" name="Revenue" dataDxfId="88" dataCellStyle="Currency"/>
    <tableColumn id="5" xr3:uid="{C0B8E6C0-1FCB-4FFF-8849-D590CCAD7F89}" name="Average by region" dataDxfId="87">
      <calculatedColumnFormula>AVERAGEIFS(RawData[Revenue],RawData[Region],RawData[[#This Row],[Region]])</calculatedColumnFormula>
    </tableColumn>
    <tableColumn id="6" xr3:uid="{9D0EC8A8-8B1C-4D2F-9D80-BC58622135F7}" name="Std. Deviation" dataDxfId="86">
      <calculatedColumnFormula>_xlfn.STDEV.P(RawData[[#This Row],[Revenue]],RawData[[#This Row],[Average by region]])</calculatedColumnFormula>
    </tableColumn>
    <tableColumn id="7" xr3:uid="{781D91D9-A61A-48CE-BD09-00CFC9190E8F}" name="Z-Score" dataDxfId="85">
      <calculatedColumnFormula>(RawData[[#This Row],[Revenue]]-RawData[[#This Row],[Average by region]])/RawData[[#This Row],[Std. Deviation]]</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1"/>
  <sheetViews>
    <sheetView zoomScale="110" zoomScaleNormal="110" workbookViewId="0">
      <selection activeCell="G3" sqref="G3"/>
    </sheetView>
  </sheetViews>
  <sheetFormatPr defaultRowHeight="15" x14ac:dyDescent="0.25"/>
  <cols>
    <col min="2" max="2" width="16" customWidth="1"/>
    <col min="3" max="3" width="13.7109375" customWidth="1"/>
    <col min="4" max="4" width="12.42578125" style="3" customWidth="1"/>
    <col min="5" max="5" width="10.28515625" customWidth="1"/>
    <col min="6" max="6" width="11.140625" customWidth="1"/>
  </cols>
  <sheetData>
    <row r="1" spans="1:9" x14ac:dyDescent="0.25">
      <c r="A1" s="1" t="s">
        <v>8</v>
      </c>
      <c r="B1" s="1" t="s">
        <v>0</v>
      </c>
      <c r="C1" s="1" t="s">
        <v>1</v>
      </c>
      <c r="D1" s="2" t="s">
        <v>2</v>
      </c>
      <c r="E1" s="1" t="s">
        <v>20</v>
      </c>
      <c r="F1" s="1" t="s">
        <v>18</v>
      </c>
      <c r="G1" s="1" t="s">
        <v>19</v>
      </c>
    </row>
    <row r="2" spans="1:9" x14ac:dyDescent="0.25">
      <c r="A2" t="s">
        <v>9</v>
      </c>
      <c r="B2" t="s">
        <v>12</v>
      </c>
      <c r="C2" t="s">
        <v>3</v>
      </c>
      <c r="D2" s="3">
        <v>44196</v>
      </c>
      <c r="E2">
        <f>AVERAGEIFS(RawData[Revenue],RawData[Region],RawData[[#This Row],[Region]])</f>
        <v>42270.833333333336</v>
      </c>
      <c r="F2" s="8">
        <f>_xlfn.STDEV.P(RawData[[#This Row],[Revenue]],RawData[[#This Row],[Average by region]])</f>
        <v>962.58333333333212</v>
      </c>
      <c r="G2" s="7">
        <f>(RawData[[#This Row],[Revenue]]-RawData[[#This Row],[Average by region]])/RawData[[#This Row],[Std. Deviation]]</f>
        <v>2</v>
      </c>
    </row>
    <row r="3" spans="1:9" x14ac:dyDescent="0.25">
      <c r="A3" t="s">
        <v>9</v>
      </c>
      <c r="B3" t="s">
        <v>12</v>
      </c>
      <c r="C3" t="s">
        <v>4</v>
      </c>
      <c r="D3" s="3">
        <v>20898</v>
      </c>
      <c r="E3">
        <f>AVERAGEIFS(RawData[Revenue],RawData[Region],RawData[[#This Row],[Region]])</f>
        <v>36577.333333333336</v>
      </c>
      <c r="F3" s="8">
        <f>_xlfn.STDEV.P(RawData[[#This Row],[Revenue]],RawData[[#This Row],[Average by region]])</f>
        <v>7839.6666666666652</v>
      </c>
      <c r="G3" s="7">
        <f>(RawData[[#This Row],[Revenue]]-RawData[[#This Row],[Average by region]])/RawData[[#This Row],[Std. Deviation]]</f>
        <v>-2.0000000000000009</v>
      </c>
      <c r="I3">
        <f>_xlfn.STDEV.S(RawData[Revenue])</f>
        <v>12618.24574287512</v>
      </c>
    </row>
    <row r="4" spans="1:9" x14ac:dyDescent="0.25">
      <c r="A4" t="s">
        <v>9</v>
      </c>
      <c r="B4" t="s">
        <v>12</v>
      </c>
      <c r="C4" t="s">
        <v>5</v>
      </c>
      <c r="D4" s="3">
        <v>46994</v>
      </c>
      <c r="E4">
        <f>AVERAGEIFS(RawData[Revenue],RawData[Region],RawData[[#This Row],[Region]])</f>
        <v>35215.5</v>
      </c>
      <c r="F4" s="8">
        <f>_xlfn.STDEV.P(RawData[[#This Row],[Revenue]],RawData[[#This Row],[Average by region]])</f>
        <v>5889.25</v>
      </c>
      <c r="G4" s="7">
        <f>(RawData[[#This Row],[Revenue]]-RawData[[#This Row],[Average by region]])/RawData[[#This Row],[Std. Deviation]]</f>
        <v>2</v>
      </c>
    </row>
    <row r="5" spans="1:9" x14ac:dyDescent="0.25">
      <c r="A5" t="s">
        <v>9</v>
      </c>
      <c r="B5" t="s">
        <v>12</v>
      </c>
      <c r="C5" t="s">
        <v>6</v>
      </c>
      <c r="D5" s="3">
        <v>43695</v>
      </c>
      <c r="E5">
        <f>AVERAGEIFS(RawData[Revenue],RawData[Region],RawData[[#This Row],[Region]])</f>
        <v>44563.833333333336</v>
      </c>
      <c r="F5" s="8">
        <f>_xlfn.STDEV.P(RawData[[#This Row],[Revenue]],RawData[[#This Row],[Average by region]])</f>
        <v>434.41666666666788</v>
      </c>
      <c r="G5" s="7">
        <f>(RawData[[#This Row],[Revenue]]-RawData[[#This Row],[Average by region]])/RawData[[#This Row],[Std. Deviation]]</f>
        <v>-2</v>
      </c>
    </row>
    <row r="6" spans="1:9" x14ac:dyDescent="0.25">
      <c r="A6" t="s">
        <v>9</v>
      </c>
      <c r="B6" t="s">
        <v>12</v>
      </c>
      <c r="C6" t="s">
        <v>7</v>
      </c>
      <c r="D6" s="3">
        <v>34196</v>
      </c>
      <c r="E6">
        <f>AVERAGEIFS(RawData[Revenue],RawData[Region],RawData[[#This Row],[Region]])</f>
        <v>29110.5</v>
      </c>
      <c r="F6" s="8">
        <f>_xlfn.STDEV.P(RawData[[#This Row],[Revenue]],RawData[[#This Row],[Average by region]])</f>
        <v>2542.75</v>
      </c>
      <c r="G6" s="7">
        <f>(RawData[[#This Row],[Revenue]]-RawData[[#This Row],[Average by region]])/RawData[[#This Row],[Std. Deviation]]</f>
        <v>2</v>
      </c>
    </row>
    <row r="7" spans="1:9" x14ac:dyDescent="0.25">
      <c r="A7" t="s">
        <v>9</v>
      </c>
      <c r="B7" t="s">
        <v>13</v>
      </c>
      <c r="C7" t="s">
        <v>3</v>
      </c>
      <c r="D7" s="3">
        <v>34155</v>
      </c>
      <c r="E7">
        <f>AVERAGEIFS(RawData[Revenue],RawData[Region],RawData[[#This Row],[Region]])</f>
        <v>42270.833333333336</v>
      </c>
      <c r="F7" s="8">
        <f>_xlfn.STDEV.P(RawData[[#This Row],[Revenue]],RawData[[#This Row],[Average by region]])</f>
        <v>4057.9166666666438</v>
      </c>
      <c r="G7" s="7">
        <f>(RawData[[#This Row],[Revenue]]-RawData[[#This Row],[Average by region]])/RawData[[#This Row],[Std. Deviation]]</f>
        <v>-2.000000000000012</v>
      </c>
    </row>
    <row r="8" spans="1:9" x14ac:dyDescent="0.25">
      <c r="A8" t="s">
        <v>9</v>
      </c>
      <c r="B8" t="s">
        <v>13</v>
      </c>
      <c r="C8" t="s">
        <v>4</v>
      </c>
      <c r="D8" s="3">
        <v>24396</v>
      </c>
      <c r="E8">
        <f>AVERAGEIFS(RawData[Revenue],RawData[Region],RawData[[#This Row],[Region]])</f>
        <v>36577.333333333336</v>
      </c>
      <c r="F8" s="8">
        <f>_xlfn.STDEV.P(RawData[[#This Row],[Revenue]],RawData[[#This Row],[Average by region]])</f>
        <v>6090.6666666666642</v>
      </c>
      <c r="G8" s="7">
        <f>(RawData[[#This Row],[Revenue]]-RawData[[#This Row],[Average by region]])/RawData[[#This Row],[Std. Deviation]]</f>
        <v>-2.0000000000000013</v>
      </c>
    </row>
    <row r="9" spans="1:9" x14ac:dyDescent="0.25">
      <c r="A9" t="s">
        <v>9</v>
      </c>
      <c r="B9" t="s">
        <v>13</v>
      </c>
      <c r="C9" t="s">
        <v>5</v>
      </c>
      <c r="D9" s="3">
        <v>29276</v>
      </c>
      <c r="E9">
        <f>AVERAGEIFS(RawData[Revenue],RawData[Region],RawData[[#This Row],[Region]])</f>
        <v>35215.5</v>
      </c>
      <c r="F9" s="8">
        <f>_xlfn.STDEV.P(RawData[[#This Row],[Revenue]],RawData[[#This Row],[Average by region]])</f>
        <v>2969.75</v>
      </c>
      <c r="G9" s="7">
        <f>(RawData[[#This Row],[Revenue]]-RawData[[#This Row],[Average by region]])/RawData[[#This Row],[Std. Deviation]]</f>
        <v>-2</v>
      </c>
    </row>
    <row r="10" spans="1:9" x14ac:dyDescent="0.25">
      <c r="A10" t="s">
        <v>9</v>
      </c>
      <c r="B10" t="s">
        <v>13</v>
      </c>
      <c r="C10" t="s">
        <v>6</v>
      </c>
      <c r="D10" s="3">
        <v>45540</v>
      </c>
      <c r="E10">
        <f>AVERAGEIFS(RawData[Revenue],RawData[Region],RawData[[#This Row],[Region]])</f>
        <v>44563.833333333336</v>
      </c>
      <c r="F10" s="8">
        <f>_xlfn.STDEV.P(RawData[[#This Row],[Revenue]],RawData[[#This Row],[Average by region]])</f>
        <v>488.08333333333212</v>
      </c>
      <c r="G10" s="7">
        <f>(RawData[[#This Row],[Revenue]]-RawData[[#This Row],[Average by region]])/RawData[[#This Row],[Std. Deviation]]</f>
        <v>2</v>
      </c>
    </row>
    <row r="11" spans="1:9" x14ac:dyDescent="0.25">
      <c r="A11" t="s">
        <v>9</v>
      </c>
      <c r="B11" t="s">
        <v>13</v>
      </c>
      <c r="C11" t="s">
        <v>7</v>
      </c>
      <c r="D11" s="3">
        <v>29277</v>
      </c>
      <c r="E11">
        <f>AVERAGEIFS(RawData[Revenue],RawData[Region],RawData[[#This Row],[Region]])</f>
        <v>29110.5</v>
      </c>
      <c r="F11" s="8">
        <f>_xlfn.STDEV.P(RawData[[#This Row],[Revenue]],RawData[[#This Row],[Average by region]])</f>
        <v>83.25</v>
      </c>
      <c r="G11" s="7">
        <f>(RawData[[#This Row],[Revenue]]-RawData[[#This Row],[Average by region]])/RawData[[#This Row],[Std. Deviation]]</f>
        <v>2</v>
      </c>
    </row>
    <row r="12" spans="1:9" x14ac:dyDescent="0.25">
      <c r="A12" t="s">
        <v>9</v>
      </c>
      <c r="B12" t="s">
        <v>11</v>
      </c>
      <c r="C12" t="s">
        <v>3</v>
      </c>
      <c r="D12" s="3">
        <v>44675</v>
      </c>
      <c r="E12">
        <f>AVERAGEIFS(RawData[Revenue],RawData[Region],RawData[[#This Row],[Region]])</f>
        <v>42270.833333333336</v>
      </c>
      <c r="F12" s="8">
        <f>_xlfn.STDEV.P(RawData[[#This Row],[Revenue]],RawData[[#This Row],[Average by region]])</f>
        <v>1202.0833333333321</v>
      </c>
      <c r="G12" s="7">
        <f>(RawData[[#This Row],[Revenue]]-RawData[[#This Row],[Average by region]])/RawData[[#This Row],[Std. Deviation]]</f>
        <v>2</v>
      </c>
    </row>
    <row r="13" spans="1:9" x14ac:dyDescent="0.25">
      <c r="A13" t="s">
        <v>9</v>
      </c>
      <c r="B13" t="s">
        <v>11</v>
      </c>
      <c r="C13" t="s">
        <v>4</v>
      </c>
      <c r="D13" s="3">
        <v>42569</v>
      </c>
      <c r="E13">
        <f>AVERAGEIFS(RawData[Revenue],RawData[Region],RawData[[#This Row],[Region]])</f>
        <v>36577.333333333336</v>
      </c>
      <c r="F13" s="8">
        <f>_xlfn.STDEV.P(RawData[[#This Row],[Revenue]],RawData[[#This Row],[Average by region]])</f>
        <v>2995.8333333333321</v>
      </c>
      <c r="G13" s="7">
        <f>(RawData[[#This Row],[Revenue]]-RawData[[#This Row],[Average by region]])/RawData[[#This Row],[Std. Deviation]]</f>
        <v>2</v>
      </c>
    </row>
    <row r="14" spans="1:9" x14ac:dyDescent="0.25">
      <c r="A14" t="s">
        <v>9</v>
      </c>
      <c r="B14" t="s">
        <v>11</v>
      </c>
      <c r="C14" t="s">
        <v>5</v>
      </c>
      <c r="D14" s="3">
        <v>43784</v>
      </c>
      <c r="E14">
        <f>AVERAGEIFS(RawData[Revenue],RawData[Region],RawData[[#This Row],[Region]])</f>
        <v>35215.5</v>
      </c>
      <c r="F14" s="8">
        <f>_xlfn.STDEV.P(RawData[[#This Row],[Revenue]],RawData[[#This Row],[Average by region]])</f>
        <v>4284.25</v>
      </c>
      <c r="G14" s="7">
        <f>(RawData[[#This Row],[Revenue]]-RawData[[#This Row],[Average by region]])/RawData[[#This Row],[Std. Deviation]]</f>
        <v>2</v>
      </c>
    </row>
    <row r="15" spans="1:9" x14ac:dyDescent="0.25">
      <c r="A15" t="s">
        <v>9</v>
      </c>
      <c r="B15" t="s">
        <v>11</v>
      </c>
      <c r="C15" t="s">
        <v>6</v>
      </c>
      <c r="D15" s="3">
        <v>46336</v>
      </c>
      <c r="E15">
        <f>AVERAGEIFS(RawData[Revenue],RawData[Region],RawData[[#This Row],[Region]])</f>
        <v>44563.833333333336</v>
      </c>
      <c r="F15" s="8">
        <f>_xlfn.STDEV.P(RawData[[#This Row],[Revenue]],RawData[[#This Row],[Average by region]])</f>
        <v>886.08333333333212</v>
      </c>
      <c r="G15" s="7">
        <f>(RawData[[#This Row],[Revenue]]-RawData[[#This Row],[Average by region]])/RawData[[#This Row],[Std. Deviation]]</f>
        <v>2</v>
      </c>
    </row>
    <row r="16" spans="1:9" x14ac:dyDescent="0.25">
      <c r="A16" t="s">
        <v>9</v>
      </c>
      <c r="B16" t="s">
        <v>11</v>
      </c>
      <c r="C16" t="s">
        <v>7</v>
      </c>
      <c r="D16" s="3">
        <v>49656</v>
      </c>
      <c r="E16">
        <f>AVERAGEIFS(RawData[Revenue],RawData[Region],RawData[[#This Row],[Region]])</f>
        <v>29110.5</v>
      </c>
      <c r="F16" s="8">
        <f>_xlfn.STDEV.P(RawData[[#This Row],[Revenue]],RawData[[#This Row],[Average by region]])</f>
        <v>10272.75</v>
      </c>
      <c r="G16" s="7">
        <f>(RawData[[#This Row],[Revenue]]-RawData[[#This Row],[Average by region]])/RawData[[#This Row],[Std. Deviation]]</f>
        <v>2</v>
      </c>
    </row>
    <row r="17" spans="1:7" x14ac:dyDescent="0.25">
      <c r="A17" t="s">
        <v>10</v>
      </c>
      <c r="B17" t="s">
        <v>12</v>
      </c>
      <c r="C17" t="s">
        <v>3</v>
      </c>
      <c r="D17" s="3">
        <v>24325</v>
      </c>
      <c r="E17">
        <f>AVERAGEIFS(RawData[Revenue],RawData[Region],RawData[[#This Row],[Region]])</f>
        <v>42270.833333333336</v>
      </c>
      <c r="F17" s="8">
        <f>_xlfn.STDEV.P(RawData[[#This Row],[Revenue]],RawData[[#This Row],[Average by region]])</f>
        <v>8972.9166666666515</v>
      </c>
      <c r="G17" s="7">
        <f>(RawData[[#This Row],[Revenue]]-RawData[[#This Row],[Average by region]])/RawData[[#This Row],[Std. Deviation]]</f>
        <v>-2.0000000000000036</v>
      </c>
    </row>
    <row r="18" spans="1:7" x14ac:dyDescent="0.25">
      <c r="A18" t="s">
        <v>10</v>
      </c>
      <c r="B18" t="s">
        <v>12</v>
      </c>
      <c r="C18" t="s">
        <v>4</v>
      </c>
      <c r="D18" s="3">
        <v>33681</v>
      </c>
      <c r="E18">
        <f>AVERAGEIFS(RawData[Revenue],RawData[Region],RawData[[#This Row],[Region]])</f>
        <v>36577.333333333336</v>
      </c>
      <c r="F18" s="8">
        <f>_xlfn.STDEV.P(RawData[[#This Row],[Revenue]],RawData[[#This Row],[Average by region]])</f>
        <v>1448.1666666666679</v>
      </c>
      <c r="G18" s="7">
        <f>(RawData[[#This Row],[Revenue]]-RawData[[#This Row],[Average by region]])/RawData[[#This Row],[Std. Deviation]]</f>
        <v>-2</v>
      </c>
    </row>
    <row r="19" spans="1:7" x14ac:dyDescent="0.25">
      <c r="A19" t="s">
        <v>10</v>
      </c>
      <c r="B19" t="s">
        <v>12</v>
      </c>
      <c r="C19" t="s">
        <v>5</v>
      </c>
      <c r="D19" s="3">
        <v>39295</v>
      </c>
      <c r="E19">
        <f>AVERAGEIFS(RawData[Revenue],RawData[Region],RawData[[#This Row],[Region]])</f>
        <v>35215.5</v>
      </c>
      <c r="F19" s="8">
        <f>_xlfn.STDEV.P(RawData[[#This Row],[Revenue]],RawData[[#This Row],[Average by region]])</f>
        <v>2039.75</v>
      </c>
      <c r="G19" s="7">
        <f>(RawData[[#This Row],[Revenue]]-RawData[[#This Row],[Average by region]])/RawData[[#This Row],[Std. Deviation]]</f>
        <v>2</v>
      </c>
    </row>
    <row r="20" spans="1:7" x14ac:dyDescent="0.25">
      <c r="A20" t="s">
        <v>10</v>
      </c>
      <c r="B20" t="s">
        <v>12</v>
      </c>
      <c r="C20" t="s">
        <v>6</v>
      </c>
      <c r="D20" s="3">
        <v>59878</v>
      </c>
      <c r="E20">
        <f>AVERAGEIFS(RawData[Revenue],RawData[Region],RawData[[#This Row],[Region]])</f>
        <v>44563.833333333336</v>
      </c>
      <c r="F20" s="8">
        <f>_xlfn.STDEV.P(RawData[[#This Row],[Revenue]],RawData[[#This Row],[Average by region]])</f>
        <v>7657.0833333333057</v>
      </c>
      <c r="G20" s="7">
        <f>(RawData[[#This Row],[Revenue]]-RawData[[#This Row],[Average by region]])/RawData[[#This Row],[Std. Deviation]]</f>
        <v>2.0000000000000071</v>
      </c>
    </row>
    <row r="21" spans="1:7" x14ac:dyDescent="0.25">
      <c r="A21" t="s">
        <v>10</v>
      </c>
      <c r="B21" t="s">
        <v>12</v>
      </c>
      <c r="C21" t="s">
        <v>7</v>
      </c>
      <c r="D21" s="3">
        <v>29938</v>
      </c>
      <c r="E21">
        <f>AVERAGEIFS(RawData[Revenue],RawData[Region],RawData[[#This Row],[Region]])</f>
        <v>29110.5</v>
      </c>
      <c r="F21" s="8">
        <f>_xlfn.STDEV.P(RawData[[#This Row],[Revenue]],RawData[[#This Row],[Average by region]])</f>
        <v>413.75</v>
      </c>
      <c r="G21" s="7">
        <f>(RawData[[#This Row],[Revenue]]-RawData[[#This Row],[Average by region]])/RawData[[#This Row],[Std. Deviation]]</f>
        <v>2</v>
      </c>
    </row>
    <row r="22" spans="1:7" x14ac:dyDescent="0.25">
      <c r="A22" t="s">
        <v>10</v>
      </c>
      <c r="B22" t="s">
        <v>13</v>
      </c>
      <c r="C22" t="s">
        <v>3</v>
      </c>
      <c r="D22" s="3">
        <v>52311</v>
      </c>
      <c r="E22">
        <f>AVERAGEIFS(RawData[Revenue],RawData[Region],RawData[[#This Row],[Region]])</f>
        <v>42270.833333333336</v>
      </c>
      <c r="F22" s="8">
        <f>_xlfn.STDEV.P(RawData[[#This Row],[Revenue]],RawData[[#This Row],[Average by region]])</f>
        <v>5020.0833333332912</v>
      </c>
      <c r="G22" s="7">
        <f>(RawData[[#This Row],[Revenue]]-RawData[[#This Row],[Average by region]])/RawData[[#This Row],[Std. Deviation]]</f>
        <v>2.0000000000000164</v>
      </c>
    </row>
    <row r="23" spans="1:7" x14ac:dyDescent="0.25">
      <c r="A23" t="s">
        <v>10</v>
      </c>
      <c r="B23" t="s">
        <v>13</v>
      </c>
      <c r="C23" t="s">
        <v>4</v>
      </c>
      <c r="D23" s="3">
        <v>31955</v>
      </c>
      <c r="E23">
        <f>AVERAGEIFS(RawData[Revenue],RawData[Region],RawData[[#This Row],[Region]])</f>
        <v>36577.333333333336</v>
      </c>
      <c r="F23" s="8">
        <f>_xlfn.STDEV.P(RawData[[#This Row],[Revenue]],RawData[[#This Row],[Average by region]])</f>
        <v>2311.1666666666679</v>
      </c>
      <c r="G23" s="7">
        <f>(RawData[[#This Row],[Revenue]]-RawData[[#This Row],[Average by region]])/RawData[[#This Row],[Std. Deviation]]</f>
        <v>-2</v>
      </c>
    </row>
    <row r="24" spans="1:7" x14ac:dyDescent="0.25">
      <c r="A24" t="s">
        <v>10</v>
      </c>
      <c r="B24" t="s">
        <v>13</v>
      </c>
      <c r="C24" t="s">
        <v>5</v>
      </c>
      <c r="D24" s="3">
        <v>31955</v>
      </c>
      <c r="E24">
        <f>AVERAGEIFS(RawData[Revenue],RawData[Region],RawData[[#This Row],[Region]])</f>
        <v>35215.5</v>
      </c>
      <c r="F24" s="8">
        <f>_xlfn.STDEV.P(RawData[[#This Row],[Revenue]],RawData[[#This Row],[Average by region]])</f>
        <v>1630.25</v>
      </c>
      <c r="G24" s="7">
        <f>(RawData[[#This Row],[Revenue]]-RawData[[#This Row],[Average by region]])/RawData[[#This Row],[Std. Deviation]]</f>
        <v>-2</v>
      </c>
    </row>
    <row r="25" spans="1:7" x14ac:dyDescent="0.25">
      <c r="A25" t="s">
        <v>10</v>
      </c>
      <c r="B25" t="s">
        <v>13</v>
      </c>
      <c r="C25" t="s">
        <v>6</v>
      </c>
      <c r="D25" s="3">
        <v>31955</v>
      </c>
      <c r="E25">
        <f>AVERAGEIFS(RawData[Revenue],RawData[Region],RawData[[#This Row],[Region]])</f>
        <v>44563.833333333336</v>
      </c>
      <c r="F25" s="8">
        <f>_xlfn.STDEV.P(RawData[[#This Row],[Revenue]],RawData[[#This Row],[Average by region]])</f>
        <v>6304.4166666666642</v>
      </c>
      <c r="G25" s="7">
        <f>(RawData[[#This Row],[Revenue]]-RawData[[#This Row],[Average by region]])/RawData[[#This Row],[Std. Deviation]]</f>
        <v>-2.0000000000000013</v>
      </c>
    </row>
    <row r="26" spans="1:7" x14ac:dyDescent="0.25">
      <c r="A26" t="s">
        <v>10</v>
      </c>
      <c r="B26" t="s">
        <v>13</v>
      </c>
      <c r="C26" t="s">
        <v>7</v>
      </c>
      <c r="D26" s="3">
        <v>11598</v>
      </c>
      <c r="E26">
        <f>AVERAGEIFS(RawData[Revenue],RawData[Region],RawData[[#This Row],[Region]])</f>
        <v>29110.5</v>
      </c>
      <c r="F26" s="8">
        <f>_xlfn.STDEV.P(RawData[[#This Row],[Revenue]],RawData[[#This Row],[Average by region]])</f>
        <v>8756.25</v>
      </c>
      <c r="G26" s="7">
        <f>(RawData[[#This Row],[Revenue]]-RawData[[#This Row],[Average by region]])/RawData[[#This Row],[Std. Deviation]]</f>
        <v>-2</v>
      </c>
    </row>
    <row r="27" spans="1:7" x14ac:dyDescent="0.25">
      <c r="A27" t="s">
        <v>10</v>
      </c>
      <c r="B27" t="s">
        <v>11</v>
      </c>
      <c r="C27" t="s">
        <v>3</v>
      </c>
      <c r="D27" s="3">
        <v>53963</v>
      </c>
      <c r="E27">
        <f>AVERAGEIFS(RawData[Revenue],RawData[Region],RawData[[#This Row],[Region]])</f>
        <v>42270.833333333336</v>
      </c>
      <c r="F27" s="8">
        <f>_xlfn.STDEV.P(RawData[[#This Row],[Revenue]],RawData[[#This Row],[Average by region]])</f>
        <v>5846.0833333332839</v>
      </c>
      <c r="G27" s="7">
        <f>(RawData[[#This Row],[Revenue]]-RawData[[#This Row],[Average by region]])/RawData[[#This Row],[Std. Deviation]]</f>
        <v>2.0000000000000164</v>
      </c>
    </row>
    <row r="28" spans="1:7" x14ac:dyDescent="0.25">
      <c r="A28" t="s">
        <v>10</v>
      </c>
      <c r="B28" t="s">
        <v>11</v>
      </c>
      <c r="C28" t="s">
        <v>4</v>
      </c>
      <c r="D28" s="3">
        <v>65965</v>
      </c>
      <c r="E28">
        <f>AVERAGEIFS(RawData[Revenue],RawData[Region],RawData[[#This Row],[Region]])</f>
        <v>36577.333333333336</v>
      </c>
      <c r="F28" s="8">
        <f>_xlfn.STDEV.P(RawData[[#This Row],[Revenue]],RawData[[#This Row],[Average by region]])</f>
        <v>14693.833333333314</v>
      </c>
      <c r="G28" s="7">
        <f>(RawData[[#This Row],[Revenue]]-RawData[[#This Row],[Average by region]])/RawData[[#This Row],[Std. Deviation]]</f>
        <v>2.0000000000000027</v>
      </c>
    </row>
    <row r="29" spans="1:7" x14ac:dyDescent="0.25">
      <c r="A29" t="s">
        <v>10</v>
      </c>
      <c r="B29" t="s">
        <v>11</v>
      </c>
      <c r="C29" t="s">
        <v>5</v>
      </c>
      <c r="D29" s="3">
        <v>19989</v>
      </c>
      <c r="E29">
        <f>AVERAGEIFS(RawData[Revenue],RawData[Region],RawData[[#This Row],[Region]])</f>
        <v>35215.5</v>
      </c>
      <c r="F29" s="8">
        <f>_xlfn.STDEV.P(RawData[[#This Row],[Revenue]],RawData[[#This Row],[Average by region]])</f>
        <v>7613.25</v>
      </c>
      <c r="G29" s="7">
        <f>(RawData[[#This Row],[Revenue]]-RawData[[#This Row],[Average by region]])/RawData[[#This Row],[Std. Deviation]]</f>
        <v>-2</v>
      </c>
    </row>
    <row r="30" spans="1:7" x14ac:dyDescent="0.25">
      <c r="A30" t="s">
        <v>10</v>
      </c>
      <c r="B30" t="s">
        <v>11</v>
      </c>
      <c r="C30" t="s">
        <v>6</v>
      </c>
      <c r="D30" s="3">
        <v>39979</v>
      </c>
      <c r="E30">
        <f>AVERAGEIFS(RawData[Revenue],RawData[Region],RawData[[#This Row],[Region]])</f>
        <v>44563.833333333336</v>
      </c>
      <c r="F30" s="8">
        <f>_xlfn.STDEV.P(RawData[[#This Row],[Revenue]],RawData[[#This Row],[Average by region]])</f>
        <v>2292.4166666666679</v>
      </c>
      <c r="G30" s="7">
        <f>(RawData[[#This Row],[Revenue]]-RawData[[#This Row],[Average by region]])/RawData[[#This Row],[Std. Deviation]]</f>
        <v>-2</v>
      </c>
    </row>
    <row r="31" spans="1:7" x14ac:dyDescent="0.25">
      <c r="A31" t="s">
        <v>10</v>
      </c>
      <c r="B31" t="s">
        <v>11</v>
      </c>
      <c r="C31" t="s">
        <v>7</v>
      </c>
      <c r="D31" s="3">
        <v>19998</v>
      </c>
      <c r="E31">
        <f>AVERAGEIFS(RawData[Revenue],RawData[Region],RawData[[#This Row],[Region]])</f>
        <v>29110.5</v>
      </c>
      <c r="F31" s="8">
        <f>_xlfn.STDEV.P(RawData[[#This Row],[Revenue]],RawData[[#This Row],[Average by region]])</f>
        <v>4556.25</v>
      </c>
      <c r="G31" s="7">
        <f>(RawData[[#This Row],[Revenue]]-RawData[[#This Row],[Average by region]])/RawData[[#This Row],[Std. Deviation]]</f>
        <v>-2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C796E-99FB-430C-A0A8-FFDE13E7AF32}">
  <dimension ref="A3:O9"/>
  <sheetViews>
    <sheetView workbookViewId="0">
      <selection activeCell="E3" sqref="E3"/>
    </sheetView>
  </sheetViews>
  <sheetFormatPr defaultRowHeight="15" x14ac:dyDescent="0.25"/>
  <cols>
    <col min="1" max="1" width="13.140625" bestFit="1" customWidth="1"/>
    <col min="2" max="2" width="15.5703125" bestFit="1" customWidth="1"/>
    <col min="3" max="3" width="8.5703125" customWidth="1"/>
    <col min="4" max="4" width="14" bestFit="1" customWidth="1"/>
    <col min="5" max="5" width="15.5703125" bestFit="1" customWidth="1"/>
    <col min="6" max="6" width="16.5703125" bestFit="1" customWidth="1"/>
    <col min="8" max="8" width="13.140625" bestFit="1" customWidth="1"/>
    <col min="9" max="9" width="19.140625" bestFit="1" customWidth="1"/>
    <col min="11" max="11" width="13.140625" bestFit="1" customWidth="1"/>
    <col min="12" max="12" width="20.28515625" bestFit="1" customWidth="1"/>
    <col min="13" max="13" width="9.5703125" customWidth="1"/>
    <col min="14" max="14" width="14" bestFit="1" customWidth="1"/>
    <col min="15" max="15" width="15.7109375" bestFit="1" customWidth="1"/>
  </cols>
  <sheetData>
    <row r="3" spans="1:15" x14ac:dyDescent="0.25">
      <c r="A3" s="4" t="s">
        <v>14</v>
      </c>
      <c r="B3" t="s">
        <v>16</v>
      </c>
      <c r="D3" s="4" t="s">
        <v>14</v>
      </c>
      <c r="E3" t="s">
        <v>16</v>
      </c>
      <c r="F3" t="s">
        <v>23</v>
      </c>
      <c r="H3" s="4" t="s">
        <v>14</v>
      </c>
      <c r="I3" t="s">
        <v>17</v>
      </c>
      <c r="K3" s="4" t="s">
        <v>14</v>
      </c>
      <c r="L3" t="s">
        <v>22</v>
      </c>
      <c r="N3" s="4" t="s">
        <v>14</v>
      </c>
      <c r="O3" t="s">
        <v>21</v>
      </c>
    </row>
    <row r="4" spans="1:15" x14ac:dyDescent="0.25">
      <c r="A4" s="5" t="s">
        <v>9</v>
      </c>
      <c r="B4" s="7">
        <v>579643</v>
      </c>
      <c r="D4" s="5" t="s">
        <v>5</v>
      </c>
      <c r="E4" s="7">
        <v>211293</v>
      </c>
      <c r="F4" s="7">
        <v>211293</v>
      </c>
      <c r="H4" s="5" t="s">
        <v>11</v>
      </c>
      <c r="I4" s="6">
        <v>42691.4</v>
      </c>
      <c r="K4" s="5" t="s">
        <v>11</v>
      </c>
      <c r="L4" s="8">
        <v>14693.833333333314</v>
      </c>
      <c r="N4" s="5" t="s">
        <v>5</v>
      </c>
      <c r="O4" s="8">
        <v>6</v>
      </c>
    </row>
    <row r="5" spans="1:15" x14ac:dyDescent="0.25">
      <c r="A5" s="5" t="s">
        <v>10</v>
      </c>
      <c r="B5" s="7">
        <v>546785</v>
      </c>
      <c r="D5" s="5" t="s">
        <v>7</v>
      </c>
      <c r="E5" s="7">
        <v>174663</v>
      </c>
      <c r="F5" s="7">
        <v>174663</v>
      </c>
      <c r="H5" s="5" t="s">
        <v>13</v>
      </c>
      <c r="I5" s="6">
        <v>32241.8</v>
      </c>
      <c r="K5" s="5" t="s">
        <v>13</v>
      </c>
      <c r="L5" s="8">
        <v>8756.25</v>
      </c>
      <c r="N5" s="5" t="s">
        <v>7</v>
      </c>
      <c r="O5" s="8">
        <v>6</v>
      </c>
    </row>
    <row r="6" spans="1:15" x14ac:dyDescent="0.25">
      <c r="A6" s="5" t="s">
        <v>15</v>
      </c>
      <c r="B6" s="7">
        <v>1126428</v>
      </c>
      <c r="D6" s="5" t="s">
        <v>6</v>
      </c>
      <c r="E6" s="7">
        <v>267383</v>
      </c>
      <c r="F6" s="7">
        <v>267383</v>
      </c>
      <c r="H6" s="5" t="s">
        <v>12</v>
      </c>
      <c r="I6" s="6">
        <v>37709.599999999999</v>
      </c>
      <c r="K6" s="5" t="s">
        <v>12</v>
      </c>
      <c r="L6" s="8">
        <v>8972.9166666666515</v>
      </c>
      <c r="N6" s="5" t="s">
        <v>6</v>
      </c>
      <c r="O6" s="8">
        <v>6</v>
      </c>
    </row>
    <row r="7" spans="1:15" x14ac:dyDescent="0.25">
      <c r="D7" s="5" t="s">
        <v>3</v>
      </c>
      <c r="E7" s="7">
        <v>253625</v>
      </c>
      <c r="F7" s="7">
        <v>253625</v>
      </c>
      <c r="H7" s="5" t="s">
        <v>15</v>
      </c>
      <c r="I7" s="6">
        <v>37547.599999999999</v>
      </c>
      <c r="K7" s="5" t="s">
        <v>15</v>
      </c>
      <c r="L7" s="8">
        <v>14693.833333333314</v>
      </c>
      <c r="N7" s="5" t="s">
        <v>3</v>
      </c>
      <c r="O7" s="8">
        <v>6</v>
      </c>
    </row>
    <row r="8" spans="1:15" x14ac:dyDescent="0.25">
      <c r="D8" s="5" t="s">
        <v>4</v>
      </c>
      <c r="E8" s="7">
        <v>219464</v>
      </c>
      <c r="F8" s="7">
        <v>219464</v>
      </c>
      <c r="N8" s="5" t="s">
        <v>4</v>
      </c>
      <c r="O8" s="8">
        <v>6</v>
      </c>
    </row>
    <row r="9" spans="1:15" x14ac:dyDescent="0.25">
      <c r="D9" s="5" t="s">
        <v>15</v>
      </c>
      <c r="E9" s="7">
        <v>1126428</v>
      </c>
      <c r="F9" s="7">
        <v>1126428</v>
      </c>
      <c r="N9" s="5" t="s">
        <v>15</v>
      </c>
      <c r="O9" s="8">
        <v>30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1ED3F-95DF-4E63-8C45-545C19264330}">
  <dimension ref="AN13"/>
  <sheetViews>
    <sheetView tabSelected="1" zoomScaleNormal="100" workbookViewId="0">
      <selection activeCell="AE20" sqref="AE20"/>
    </sheetView>
  </sheetViews>
  <sheetFormatPr defaultRowHeight="15" x14ac:dyDescent="0.25"/>
  <sheetData>
    <row r="13" spans="40:40" x14ac:dyDescent="0.25">
      <c r="AN13" s="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F7896004-6D5E-4A3F-939D-7B0031DCD8D9}">
  <ds:schemaRefs>
    <ds:schemaRef ds:uri="http://schemas.microsoft.com/DataMashup"/>
  </ds:schemaRefs>
</ds:datastoreItem>
</file>

<file path=customXml/itemProps2.xml><?xml version="1.0" encoding="utf-8"?>
<ds:datastoreItem xmlns:ds="http://schemas.openxmlformats.org/officeDocument/2006/customXml" ds:itemID="{BA7B2A3E-28F4-4B9A-B9AE-0D73E0678F80}">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vt:lpstr>
      <vt:lpstr>Dashboard</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is a part of the online Excel Dashboard course. To find out more, visit www.xelplus.com</dc:description>
  <cp:lastModifiedBy>Ashlesh Gajbhiye</cp:lastModifiedBy>
  <dcterms:created xsi:type="dcterms:W3CDTF">2017-02-08T16:00:27Z</dcterms:created>
  <dcterms:modified xsi:type="dcterms:W3CDTF">2025-04-08T12:21:38Z</dcterms:modified>
</cp:coreProperties>
</file>